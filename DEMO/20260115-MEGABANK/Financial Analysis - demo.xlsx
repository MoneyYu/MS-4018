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microsoftapc-my.sharepoint.com/personal/hsinyuchan_microsoft_com/Documents/MTT/Delivery/00_Courses/MS-4018/Demo/Copilot Demo - XXXXX/"/>
    </mc:Choice>
  </mc:AlternateContent>
  <xr:revisionPtr revIDLastSave="0" documentId="8_{A7B973DD-7AC9-496C-ACCA-EFFCC7AFF686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ales" sheetId="6" r:id="rId1"/>
    <sheet name="Products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" i="6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<sst xmlns="http://schemas.openxmlformats.org/spreadsheetml/2006/main" count="1150" uniqueCount="63">
  <si>
    <t>Country</t>
  </si>
  <si>
    <t>Product</t>
  </si>
  <si>
    <t>Units Sold</t>
  </si>
  <si>
    <t>Sale Price</t>
  </si>
  <si>
    <t>Gross Sales</t>
  </si>
  <si>
    <t>COGS</t>
  </si>
  <si>
    <t>Profit</t>
  </si>
  <si>
    <t>Year</t>
  </si>
  <si>
    <t>Canada</t>
  </si>
  <si>
    <t>January</t>
  </si>
  <si>
    <t>Germany</t>
  </si>
  <si>
    <t>France</t>
  </si>
  <si>
    <t>June</t>
  </si>
  <si>
    <t>Mexico</t>
  </si>
  <si>
    <t>December</t>
  </si>
  <si>
    <t>March</t>
  </si>
  <si>
    <t>July</t>
  </si>
  <si>
    <t>August</t>
  </si>
  <si>
    <t>September</t>
  </si>
  <si>
    <t>October</t>
  </si>
  <si>
    <t>2023</t>
  </si>
  <si>
    <t>February</t>
  </si>
  <si>
    <t>November</t>
  </si>
  <si>
    <t>May</t>
  </si>
  <si>
    <t>April</t>
  </si>
  <si>
    <t>USA</t>
  </si>
  <si>
    <t>Ratings</t>
  </si>
  <si>
    <t>Market Intelligence</t>
  </si>
  <si>
    <t>Investment Banking</t>
  </si>
  <si>
    <t>Private Equity</t>
  </si>
  <si>
    <t>Commercial Banks</t>
  </si>
  <si>
    <t>Corporations</t>
  </si>
  <si>
    <t>Professional Services</t>
  </si>
  <si>
    <t>Market</t>
  </si>
  <si>
    <t>Month</t>
  </si>
  <si>
    <t>Indices</t>
  </si>
  <si>
    <t>Commodity Insights</t>
  </si>
  <si>
    <t>The accuracy of their ratings is unparalleled.</t>
  </si>
  <si>
    <t>I find the usability of their platform very intuitive.</t>
  </si>
  <si>
    <t>Customer support is always prompt and helpful.</t>
  </si>
  <si>
    <t>Data quality is top-notch, very reliable.</t>
  </si>
  <si>
    <t>Great value for money, worth every penny.</t>
  </si>
  <si>
    <t>Sometimes the ratings seem a bit delayed.</t>
  </si>
  <si>
    <t>The platform could be more user-friendly.</t>
  </si>
  <si>
    <t>Customer support could be more responsive.</t>
  </si>
  <si>
    <t>A bit pricey, but you get what you pay for.</t>
  </si>
  <si>
    <t>The interface is very user-friendly.</t>
  </si>
  <si>
    <t>Provides great value for the cost.</t>
  </si>
  <si>
    <t>The platform is easy to navigate.</t>
  </si>
  <si>
    <t>Customer support is very helpful.</t>
  </si>
  <si>
    <t>Data quality is consistently high.</t>
  </si>
  <si>
    <t>Good value for the services provided.</t>
  </si>
  <si>
    <t>Customer support could be faster.</t>
  </si>
  <si>
    <t>A bit on the expensive side.</t>
  </si>
  <si>
    <t>Good value for money.</t>
  </si>
  <si>
    <t>A bit pricey, but valuable.</t>
  </si>
  <si>
    <t>ProductID</t>
  </si>
  <si>
    <t>Prod_001</t>
  </si>
  <si>
    <t>Prod_002</t>
  </si>
  <si>
    <t>Prod_003</t>
  </si>
  <si>
    <t>Prod_004</t>
  </si>
  <si>
    <t>Customer feedback</t>
  </si>
  <si>
    <t>Customer support could be more helpful.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</si>
</sst>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4" fontId="1" fillId="0" borderId="0" xfId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4" fontId="1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44" fontId="4" fillId="2" borderId="3" xfId="1" applyFont="1" applyFill="1" applyBorder="1" applyAlignment="1">
      <alignment horizontal="center" vertical="center"/>
    </xf>
    <xf numFmtId="44" fontId="4" fillId="2" borderId="4" xfId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2">
    <cellStyle name="Currency" xfId="1" builtinId="4"/>
    <cellStyle name="Normal" xfId="0" builtinId="0"/>
  </cellStyles>
  <dxfs count="3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3/09/relationships/Python" Target="pyth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K215" totalsRowShown="0" headerRowDxfId="30" dataDxfId="29" totalsRowDxfId="28" headerRowCellStyle="Currency" dataCellStyle="Currency">
  <autoFilter ref="A1:K215" xr:uid="{00000000-0009-0000-0100-000001000000}"/>
  <tableColumns count="11">
    <tableColumn id="1" xr3:uid="{00000000-0010-0000-0000-000001000000}" name="Market" dataDxfId="27" totalsRowDxfId="26"/>
    <tableColumn id="2" xr3:uid="{00000000-0010-0000-0000-000002000000}" name="Country" dataDxfId="25" totalsRowDxfId="24"/>
    <tableColumn id="16" xr3:uid="{00000000-0010-0000-0000-000010000000}" name="Product" dataDxfId="23" totalsRowDxfId="22" dataCellStyle="Currency" totalsRowCellStyle="Currency"/>
    <tableColumn id="3" xr3:uid="{538312AF-322B-4877-B3FF-560438DB5307}" name="Customer feedback" dataDxfId="21" totalsRowDxfId="20" dataCellStyle="Currency" totalsRowCellStyle="Currency"/>
    <tableColumn id="6" xr3:uid="{00000000-0010-0000-0000-000006000000}" name="Units Sold" dataDxfId="19" totalsRowDxfId="18" totalsRowCellStyle="Currency"/>
    <tableColumn id="8" xr3:uid="{00000000-0010-0000-0000-000008000000}" name="Sale Price" dataDxfId="17" totalsRowDxfId="16" dataCellStyle="Currency" totalsRowCellStyle="Currency"/>
    <tableColumn id="9" xr3:uid="{00000000-0010-0000-0000-000009000000}" name="Gross Sales" dataDxfId="15" totalsRowDxfId="14" dataCellStyle="Currency" totalsRowCellStyle="Currency">
      <calculatedColumnFormula>financials[[#This Row],[Units Sold]]*financials[[#This Row],[Sale Price]]</calculatedColumnFormula>
    </tableColumn>
    <tableColumn id="12" xr3:uid="{00000000-0010-0000-0000-00000C000000}" name="COGS" dataDxfId="13" totalsRowDxfId="12" dataCellStyle="Currency" totalsRowCellStyle="Currency"/>
    <tableColumn id="13" xr3:uid="{00000000-0010-0000-0000-00000D000000}" name="Profit" dataDxfId="11" totalsRowDxfId="10" dataCellStyle="Currency" totalsRowCellStyle="Currency"/>
    <tableColumn id="18" xr3:uid="{00000000-0010-0000-0000-000012000000}" name="Month" dataDxfId="9" totalsRowDxfId="8" dataCellStyle="Currency" totalsRowCellStyle="Currency"/>
    <tableColumn id="20" xr3:uid="{00000000-0010-0000-0000-000014000000}" name="Year" dataDxfId="7" totalsRowDxfId="6" dataCellStyle="Currency" totalsRow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D50316-6819-4DD9-809F-123B56CEE402}" name="Table3" displayName="Table3" ref="A1:B5" totalsRowShown="0" headerRowDxfId="5" headerRowBorderDxfId="4" tableBorderDxfId="3" totalsRowBorderDxfId="2" headerRowCellStyle="Currency">
  <autoFilter ref="A1:B5" xr:uid="{86D50316-6819-4DD9-809F-123B56CEE402}"/>
  <tableColumns count="2">
    <tableColumn id="1" xr3:uid="{42667BC0-3CC7-43B2-ABA9-5FCC32743011}" name="Product" dataDxfId="1"/>
    <tableColumn id="2" xr3:uid="{9D0BE22E-8A98-4944-94C1-1310514F3727}" name="Product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4.6" x14ac:dyDescent="0.4"/>
  <cols>
    <col min="1" max="1" width="18.23046875" style="1" bestFit="1" customWidth="1"/>
    <col min="2" max="2" width="23.23046875" style="1" bestFit="1" customWidth="1"/>
    <col min="3" max="3" width="18.15234375" style="3" bestFit="1" customWidth="1"/>
    <col min="4" max="4" width="30.15234375" style="2" customWidth="1"/>
    <col min="5" max="5" width="12.53515625" style="2" customWidth="1"/>
    <col min="6" max="6" width="12.4609375" style="2" customWidth="1"/>
    <col min="7" max="8" width="13" style="1" bestFit="1" customWidth="1"/>
    <col min="9" max="9" width="16.4609375" style="1" bestFit="1" customWidth="1"/>
    <col min="10" max="10" width="9.53515625" style="4" customWidth="1"/>
  </cols>
  <sheetData>
    <row r="1" spans="1:11" x14ac:dyDescent="0.4">
      <c r="A1" s="8" t="s">
        <v>33</v>
      </c>
      <c r="B1" s="1" t="s">
        <v>0</v>
      </c>
      <c r="C1" s="5" t="s">
        <v>1</v>
      </c>
      <c r="D1" s="5" t="s">
        <v>61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5" t="s">
        <v>34</v>
      </c>
      <c r="K1" s="6" t="s">
        <v>7</v>
      </c>
    </row>
    <row r="2" spans="1:11" ht="29.15" x14ac:dyDescent="0.4">
      <c r="A2" s="1" t="s">
        <v>30</v>
      </c>
      <c r="B2" s="1" t="s">
        <v>8</v>
      </c>
      <c r="C2" s="5" t="s">
        <v>26</v>
      </c>
      <c r="D2" s="7" t="s">
        <v>37</v>
      </c>
      <c r="E2" s="1">
        <v>1618.5</v>
      </c>
      <c r="F2" s="2">
        <v>20</v>
      </c>
      <c r="G2" s="2">
        <f>financials[[#This Row],[Units Sold]]*financials[[#This Row],[Sale Price]]</f>
        <v>32370</v>
      </c>
      <c r="H2" s="2">
        <v>16185</v>
      </c>
      <c r="I2" s="2">
        <v>16185</v>
      </c>
      <c r="J2" s="5" t="s">
        <v>9</v>
      </c>
      <c r="K2" s="6">
        <v>2024</v>
      </c>
    </row>
    <row r="3" spans="1:11" ht="29.15" x14ac:dyDescent="0.4">
      <c r="A3" s="1" t="s">
        <v>30</v>
      </c>
      <c r="B3" s="1" t="s">
        <v>10</v>
      </c>
      <c r="C3" s="5" t="s">
        <v>26</v>
      </c>
      <c r="D3" s="7" t="s">
        <v>38</v>
      </c>
      <c r="E3" s="1">
        <v>1321</v>
      </c>
      <c r="F3" s="2">
        <v>20</v>
      </c>
      <c r="G3" s="2">
        <f>financials[[#This Row],[Units Sold]]*financials[[#This Row],[Sale Price]]</f>
        <v>26420</v>
      </c>
      <c r="H3" s="2">
        <v>13210</v>
      </c>
      <c r="I3" s="2">
        <v>13210</v>
      </c>
      <c r="J3" s="5" t="s">
        <v>9</v>
      </c>
      <c r="K3" s="6">
        <v>2024</v>
      </c>
    </row>
    <row r="4" spans="1:11" ht="29.15" x14ac:dyDescent="0.4">
      <c r="A4" s="1" t="s">
        <v>31</v>
      </c>
      <c r="B4" s="1" t="s">
        <v>11</v>
      </c>
      <c r="C4" s="5" t="s">
        <v>26</v>
      </c>
      <c r="D4" s="7" t="s">
        <v>39</v>
      </c>
      <c r="E4" s="1">
        <v>2178</v>
      </c>
      <c r="F4" s="2">
        <v>15</v>
      </c>
      <c r="G4" s="2">
        <f>financials[[#This Row],[Units Sold]]*financials[[#This Row],[Sale Price]]</f>
        <v>32670</v>
      </c>
      <c r="H4" s="2">
        <v>21780</v>
      </c>
      <c r="I4" s="2">
        <v>10890</v>
      </c>
      <c r="J4" s="5" t="s">
        <v>12</v>
      </c>
      <c r="K4" s="6">
        <v>2024</v>
      </c>
    </row>
    <row r="5" spans="1:11" ht="29.15" x14ac:dyDescent="0.4">
      <c r="A5" s="1" t="s">
        <v>31</v>
      </c>
      <c r="B5" s="1" t="s">
        <v>10</v>
      </c>
      <c r="C5" s="5" t="s">
        <v>26</v>
      </c>
      <c r="D5" s="7" t="s">
        <v>40</v>
      </c>
      <c r="E5" s="1">
        <v>888</v>
      </c>
      <c r="F5" s="2">
        <v>15</v>
      </c>
      <c r="G5" s="2">
        <f>financials[[#This Row],[Units Sold]]*financials[[#This Row],[Sale Price]]</f>
        <v>13320</v>
      </c>
      <c r="H5" s="2">
        <v>8880</v>
      </c>
      <c r="I5" s="2">
        <v>4440</v>
      </c>
      <c r="J5" s="5" t="s">
        <v>12</v>
      </c>
      <c r="K5" s="6">
        <v>2024</v>
      </c>
    </row>
    <row r="6" spans="1:11" ht="29.15" x14ac:dyDescent="0.4">
      <c r="A6" s="1" t="s">
        <v>31</v>
      </c>
      <c r="B6" s="1" t="s">
        <v>13</v>
      </c>
      <c r="C6" s="5" t="s">
        <v>26</v>
      </c>
      <c r="D6" s="7" t="s">
        <v>41</v>
      </c>
      <c r="E6" s="1">
        <v>2470</v>
      </c>
      <c r="F6" s="2">
        <v>15</v>
      </c>
      <c r="G6" s="2">
        <f>financials[[#This Row],[Units Sold]]*financials[[#This Row],[Sale Price]]</f>
        <v>37050</v>
      </c>
      <c r="H6" s="2">
        <v>24700</v>
      </c>
      <c r="I6" s="2">
        <v>12350</v>
      </c>
      <c r="J6" s="5" t="s">
        <v>12</v>
      </c>
      <c r="K6" s="6">
        <v>2024</v>
      </c>
    </row>
    <row r="7" spans="1:11" ht="29.15" x14ac:dyDescent="0.4">
      <c r="A7" s="1" t="s">
        <v>30</v>
      </c>
      <c r="B7" s="1" t="s">
        <v>10</v>
      </c>
      <c r="C7" s="5" t="s">
        <v>26</v>
      </c>
      <c r="D7" s="7" t="s">
        <v>42</v>
      </c>
      <c r="E7" s="1">
        <v>1513</v>
      </c>
      <c r="F7" s="2">
        <v>350</v>
      </c>
      <c r="G7" s="2">
        <f>financials[[#This Row],[Units Sold]]*financials[[#This Row],[Sale Price]]</f>
        <v>529550</v>
      </c>
      <c r="H7" s="2">
        <v>393380</v>
      </c>
      <c r="I7" s="2">
        <v>136170</v>
      </c>
      <c r="J7" s="5" t="s">
        <v>14</v>
      </c>
      <c r="K7" s="6">
        <v>2024</v>
      </c>
    </row>
    <row r="8" spans="1:11" ht="29.15" x14ac:dyDescent="0.4">
      <c r="A8" s="1" t="s">
        <v>31</v>
      </c>
      <c r="B8" s="1" t="s">
        <v>10</v>
      </c>
      <c r="C8" s="5" t="s">
        <v>27</v>
      </c>
      <c r="D8" s="7" t="s">
        <v>43</v>
      </c>
      <c r="E8" s="1">
        <v>921</v>
      </c>
      <c r="F8" s="2">
        <v>15</v>
      </c>
      <c r="G8" s="2">
        <f>financials[[#This Row],[Units Sold]]*financials[[#This Row],[Sale Price]]</f>
        <v>13815</v>
      </c>
      <c r="H8" s="2">
        <v>9210</v>
      </c>
      <c r="I8" s="2">
        <v>4605</v>
      </c>
      <c r="J8" s="5" t="s">
        <v>15</v>
      </c>
      <c r="K8" s="6">
        <v>2024</v>
      </c>
    </row>
    <row r="9" spans="1:11" ht="29.15" x14ac:dyDescent="0.4">
      <c r="A9" s="1" t="s">
        <v>28</v>
      </c>
      <c r="B9" s="1" t="s">
        <v>8</v>
      </c>
      <c r="C9" s="5" t="s">
        <v>27</v>
      </c>
      <c r="D9" s="7" t="s">
        <v>44</v>
      </c>
      <c r="E9" s="1">
        <v>2518</v>
      </c>
      <c r="F9" s="2">
        <v>12</v>
      </c>
      <c r="G9" s="2">
        <f>financials[[#This Row],[Units Sold]]*financials[[#This Row],[Sale Price]]</f>
        <v>30216</v>
      </c>
      <c r="H9" s="2">
        <v>7554</v>
      </c>
      <c r="I9" s="2">
        <v>22662</v>
      </c>
      <c r="J9" s="5" t="s">
        <v>12</v>
      </c>
      <c r="K9" s="6">
        <v>2024</v>
      </c>
    </row>
    <row r="10" spans="1:11" ht="29.15" x14ac:dyDescent="0.4">
      <c r="A10" s="1" t="s">
        <v>30</v>
      </c>
      <c r="B10" s="1" t="s">
        <v>11</v>
      </c>
      <c r="C10" s="5" t="s">
        <v>27</v>
      </c>
      <c r="D10" s="7" t="s">
        <v>62</v>
      </c>
      <c r="E10" s="1">
        <v>1899</v>
      </c>
      <c r="F10" s="2">
        <v>20</v>
      </c>
      <c r="G10" s="2">
        <f>financials[[#This Row],[Units Sold]]*financials[[#This Row],[Sale Price]]</f>
        <v>37980</v>
      </c>
      <c r="H10" s="2">
        <v>18990</v>
      </c>
      <c r="I10" s="2">
        <v>18990</v>
      </c>
      <c r="J10" s="5" t="s">
        <v>12</v>
      </c>
      <c r="K10" s="6">
        <v>2024</v>
      </c>
    </row>
    <row r="11" spans="1:11" ht="29.15" x14ac:dyDescent="0.4">
      <c r="A11" s="1" t="s">
        <v>28</v>
      </c>
      <c r="B11" s="1" t="s">
        <v>10</v>
      </c>
      <c r="C11" s="5" t="s">
        <v>27</v>
      </c>
      <c r="D11" s="7" t="s">
        <v>45</v>
      </c>
      <c r="E11" s="1">
        <v>1545</v>
      </c>
      <c r="F11" s="2">
        <v>12</v>
      </c>
      <c r="G11" s="2">
        <f>financials[[#This Row],[Units Sold]]*financials[[#This Row],[Sale Price]]</f>
        <v>18540</v>
      </c>
      <c r="H11" s="2">
        <v>4635</v>
      </c>
      <c r="I11" s="2">
        <v>13905</v>
      </c>
      <c r="J11" s="5" t="s">
        <v>12</v>
      </c>
      <c r="K11" s="6">
        <v>2024</v>
      </c>
    </row>
    <row r="12" spans="1:11" x14ac:dyDescent="0.4">
      <c r="A12" s="1" t="s">
        <v>29</v>
      </c>
      <c r="B12" s="1" t="s">
        <v>8</v>
      </c>
      <c r="C12" s="5" t="s">
        <v>27</v>
      </c>
      <c r="D12" s="7" t="s">
        <v>46</v>
      </c>
      <c r="E12" s="1">
        <v>2665.5</v>
      </c>
      <c r="F12" s="2">
        <v>125</v>
      </c>
      <c r="G12" s="2">
        <f>financials[[#This Row],[Units Sold]]*financials[[#This Row],[Sale Price]]</f>
        <v>333187.5</v>
      </c>
      <c r="H12" s="2">
        <v>319860</v>
      </c>
      <c r="I12" s="2">
        <v>13327.5</v>
      </c>
      <c r="J12" s="5" t="s">
        <v>16</v>
      </c>
      <c r="K12" s="6">
        <v>2024</v>
      </c>
    </row>
    <row r="13" spans="1:11" x14ac:dyDescent="0.4">
      <c r="A13" s="1" t="s">
        <v>29</v>
      </c>
      <c r="B13" s="1" t="s">
        <v>8</v>
      </c>
      <c r="C13" s="5" t="s">
        <v>27</v>
      </c>
      <c r="D13" s="7" t="s">
        <v>47</v>
      </c>
      <c r="E13" s="1">
        <v>345</v>
      </c>
      <c r="F13" s="2">
        <v>125</v>
      </c>
      <c r="G13" s="2">
        <f>financials[[#This Row],[Units Sold]]*financials[[#This Row],[Sale Price]]</f>
        <v>43125</v>
      </c>
      <c r="H13" s="2">
        <v>41400</v>
      </c>
      <c r="I13" s="2">
        <v>1725</v>
      </c>
      <c r="J13" s="5" t="s">
        <v>19</v>
      </c>
      <c r="K13" s="6" t="s">
        <v>20</v>
      </c>
    </row>
    <row r="14" spans="1:11" x14ac:dyDescent="0.4">
      <c r="A14" s="1" t="s">
        <v>30</v>
      </c>
      <c r="B14" s="1" t="s">
        <v>13</v>
      </c>
      <c r="C14" s="5" t="s">
        <v>35</v>
      </c>
      <c r="D14" s="7" t="s">
        <v>48</v>
      </c>
      <c r="E14" s="1">
        <v>883</v>
      </c>
      <c r="F14" s="2">
        <v>7</v>
      </c>
      <c r="G14" s="2">
        <f>financials[[#This Row],[Units Sold]]*financials[[#This Row],[Sale Price]]</f>
        <v>6181</v>
      </c>
      <c r="H14" s="2">
        <v>4415</v>
      </c>
      <c r="I14" s="2">
        <v>1766</v>
      </c>
      <c r="J14" s="5" t="s">
        <v>17</v>
      </c>
      <c r="K14" s="6">
        <v>2024</v>
      </c>
    </row>
    <row r="15" spans="1:11" x14ac:dyDescent="0.4">
      <c r="A15" s="1" t="s">
        <v>31</v>
      </c>
      <c r="B15" s="1" t="s">
        <v>11</v>
      </c>
      <c r="C15" s="5" t="s">
        <v>35</v>
      </c>
      <c r="D15" s="7" t="s">
        <v>49</v>
      </c>
      <c r="E15" s="1">
        <v>549</v>
      </c>
      <c r="F15" s="2">
        <v>15</v>
      </c>
      <c r="G15" s="2">
        <f>financials[[#This Row],[Units Sold]]*financials[[#This Row],[Sale Price]]</f>
        <v>8235</v>
      </c>
      <c r="H15" s="2">
        <v>5490</v>
      </c>
      <c r="I15" s="2">
        <v>2745</v>
      </c>
      <c r="J15" s="5" t="s">
        <v>18</v>
      </c>
      <c r="K15" s="6" t="s">
        <v>20</v>
      </c>
    </row>
    <row r="16" spans="1:11" x14ac:dyDescent="0.4">
      <c r="A16" s="1" t="s">
        <v>32</v>
      </c>
      <c r="B16" s="1" t="s">
        <v>13</v>
      </c>
      <c r="C16" s="5" t="s">
        <v>35</v>
      </c>
      <c r="D16" s="7" t="s">
        <v>50</v>
      </c>
      <c r="E16" s="1">
        <v>788</v>
      </c>
      <c r="F16" s="2">
        <v>300</v>
      </c>
      <c r="G16" s="2">
        <f>financials[[#This Row],[Units Sold]]*financials[[#This Row],[Sale Price]]</f>
        <v>236400</v>
      </c>
      <c r="H16" s="2">
        <v>197000</v>
      </c>
      <c r="I16" s="2">
        <v>39400</v>
      </c>
      <c r="J16" s="5" t="s">
        <v>18</v>
      </c>
      <c r="K16" s="6" t="s">
        <v>20</v>
      </c>
    </row>
    <row r="17" spans="1:11" ht="29.15" x14ac:dyDescent="0.4">
      <c r="A17" s="1" t="s">
        <v>31</v>
      </c>
      <c r="B17" s="1" t="s">
        <v>13</v>
      </c>
      <c r="C17" s="5" t="s">
        <v>35</v>
      </c>
      <c r="D17" s="7" t="s">
        <v>51</v>
      </c>
      <c r="E17" s="1">
        <v>2472</v>
      </c>
      <c r="F17" s="2">
        <v>15</v>
      </c>
      <c r="G17" s="2">
        <f>financials[[#This Row],[Units Sold]]*financials[[#This Row],[Sale Price]]</f>
        <v>37080</v>
      </c>
      <c r="H17" s="2">
        <v>24720</v>
      </c>
      <c r="I17" s="2">
        <v>12360</v>
      </c>
      <c r="J17" s="5" t="s">
        <v>18</v>
      </c>
      <c r="K17" s="6">
        <v>2024</v>
      </c>
    </row>
    <row r="18" spans="1:11" x14ac:dyDescent="0.4">
      <c r="A18" s="1" t="s">
        <v>28</v>
      </c>
      <c r="B18" s="1" t="s">
        <v>25</v>
      </c>
      <c r="C18" s="5" t="s">
        <v>35</v>
      </c>
      <c r="D18" s="7" t="s">
        <v>52</v>
      </c>
      <c r="E18" s="1">
        <v>912</v>
      </c>
      <c r="F18" s="2">
        <v>12</v>
      </c>
      <c r="G18" s="2">
        <f>financials[[#This Row],[Units Sold]]*financials[[#This Row],[Sale Price]]</f>
        <v>10944</v>
      </c>
      <c r="H18" s="2">
        <v>2736</v>
      </c>
      <c r="I18" s="2">
        <v>8208</v>
      </c>
      <c r="J18" s="5" t="s">
        <v>22</v>
      </c>
      <c r="K18" s="6" t="s">
        <v>20</v>
      </c>
    </row>
    <row r="19" spans="1:11" x14ac:dyDescent="0.4">
      <c r="A19" s="1" t="s">
        <v>30</v>
      </c>
      <c r="B19" s="1" t="s">
        <v>8</v>
      </c>
      <c r="C19" s="5" t="s">
        <v>35</v>
      </c>
      <c r="D19" s="7" t="s">
        <v>53</v>
      </c>
      <c r="E19" s="1">
        <v>1817</v>
      </c>
      <c r="F19" s="2">
        <v>20</v>
      </c>
      <c r="G19" s="2">
        <f>financials[[#This Row],[Units Sold]]*financials[[#This Row],[Sale Price]]</f>
        <v>36340</v>
      </c>
      <c r="H19" s="2">
        <v>18170</v>
      </c>
      <c r="I19" s="2">
        <v>18170</v>
      </c>
      <c r="J19" s="5" t="s">
        <v>14</v>
      </c>
      <c r="K19" s="6">
        <v>2024</v>
      </c>
    </row>
    <row r="20" spans="1:11" x14ac:dyDescent="0.4">
      <c r="A20" s="1" t="s">
        <v>30</v>
      </c>
      <c r="B20" s="1" t="s">
        <v>10</v>
      </c>
      <c r="C20" s="5" t="s">
        <v>36</v>
      </c>
      <c r="D20" s="7" t="s">
        <v>54</v>
      </c>
      <c r="E20" s="1">
        <v>1006</v>
      </c>
      <c r="F20" s="2">
        <v>350</v>
      </c>
      <c r="G20" s="2">
        <f>financials[[#This Row],[Units Sold]]*financials[[#This Row],[Sale Price]]</f>
        <v>352100</v>
      </c>
      <c r="H20" s="2">
        <v>261560</v>
      </c>
      <c r="I20" s="2">
        <v>90540</v>
      </c>
      <c r="J20" s="5" t="s">
        <v>12</v>
      </c>
      <c r="K20" s="6">
        <v>2024</v>
      </c>
    </row>
    <row r="21" spans="1:11" x14ac:dyDescent="0.4">
      <c r="A21" s="1" t="s">
        <v>30</v>
      </c>
      <c r="B21" s="1" t="s">
        <v>11</v>
      </c>
      <c r="C21" s="5" t="s">
        <v>35</v>
      </c>
      <c r="D21" s="7" t="s">
        <v>55</v>
      </c>
      <c r="E21" s="1">
        <v>1030</v>
      </c>
      <c r="F21" s="2">
        <v>7</v>
      </c>
      <c r="G21" s="2">
        <f>financials[[#This Row],[Units Sold]]*financials[[#This Row],[Sale Price]]</f>
        <v>7210</v>
      </c>
      <c r="H21" s="2">
        <v>5150</v>
      </c>
      <c r="I21" s="2">
        <v>1987.8999999999996</v>
      </c>
      <c r="J21" s="5" t="s">
        <v>23</v>
      </c>
      <c r="K21" s="6">
        <v>2024</v>
      </c>
    </row>
    <row r="22" spans="1:11" ht="29.15" x14ac:dyDescent="0.4">
      <c r="A22" s="1" t="s">
        <v>30</v>
      </c>
      <c r="B22" s="1" t="s">
        <v>11</v>
      </c>
      <c r="C22" s="5" t="s">
        <v>36</v>
      </c>
      <c r="D22" s="7" t="s">
        <v>37</v>
      </c>
      <c r="E22" s="1">
        <v>639</v>
      </c>
      <c r="F22" s="2">
        <v>7</v>
      </c>
      <c r="G22" s="2">
        <f>financials[[#This Row],[Units Sold]]*financials[[#This Row],[Sale Price]]</f>
        <v>4473</v>
      </c>
      <c r="H22" s="2">
        <v>3195</v>
      </c>
      <c r="I22" s="2">
        <v>1233.2700000000004</v>
      </c>
      <c r="J22" s="5" t="s">
        <v>22</v>
      </c>
      <c r="K22" s="6">
        <v>2024</v>
      </c>
    </row>
    <row r="23" spans="1:11" ht="29.15" x14ac:dyDescent="0.4">
      <c r="A23" s="1" t="s">
        <v>28</v>
      </c>
      <c r="B23" s="1" t="s">
        <v>25</v>
      </c>
      <c r="C23" s="5" t="s">
        <v>26</v>
      </c>
      <c r="D23" s="7" t="s">
        <v>38</v>
      </c>
      <c r="E23" s="1">
        <v>1858</v>
      </c>
      <c r="F23" s="2">
        <v>12</v>
      </c>
      <c r="G23" s="2">
        <f>financials[[#This Row],[Units Sold]]*financials[[#This Row],[Sale Price]]</f>
        <v>22296</v>
      </c>
      <c r="H23" s="2">
        <v>5574</v>
      </c>
      <c r="I23" s="2">
        <v>16499.04</v>
      </c>
      <c r="J23" s="5" t="s">
        <v>21</v>
      </c>
      <c r="K23" s="6">
        <v>2024</v>
      </c>
    </row>
    <row r="24" spans="1:11" ht="29.15" x14ac:dyDescent="0.4">
      <c r="A24" s="1" t="s">
        <v>30</v>
      </c>
      <c r="B24" s="1" t="s">
        <v>13</v>
      </c>
      <c r="C24" s="5" t="s">
        <v>26</v>
      </c>
      <c r="D24" s="7" t="s">
        <v>39</v>
      </c>
      <c r="E24" s="1">
        <v>1210</v>
      </c>
      <c r="F24" s="2">
        <v>350</v>
      </c>
      <c r="G24" s="2">
        <f>financials[[#This Row],[Units Sold]]*financials[[#This Row],[Sale Price]]</f>
        <v>423500</v>
      </c>
      <c r="H24" s="2">
        <v>314600</v>
      </c>
      <c r="I24" s="2">
        <v>104665</v>
      </c>
      <c r="J24" s="5" t="s">
        <v>15</v>
      </c>
      <c r="K24" s="6">
        <v>2024</v>
      </c>
    </row>
    <row r="25" spans="1:11" ht="29.15" x14ac:dyDescent="0.4">
      <c r="A25" s="1" t="s">
        <v>30</v>
      </c>
      <c r="B25" s="1" t="s">
        <v>25</v>
      </c>
      <c r="C25" s="5" t="s">
        <v>26</v>
      </c>
      <c r="D25" s="7" t="s">
        <v>40</v>
      </c>
      <c r="E25" s="1">
        <v>2529</v>
      </c>
      <c r="F25" s="2">
        <v>7</v>
      </c>
      <c r="G25" s="2">
        <f>financials[[#This Row],[Units Sold]]*financials[[#This Row],[Sale Price]]</f>
        <v>17703</v>
      </c>
      <c r="H25" s="2">
        <v>12645</v>
      </c>
      <c r="I25" s="2">
        <v>4880.9699999999993</v>
      </c>
      <c r="J25" s="5" t="s">
        <v>16</v>
      </c>
      <c r="K25" s="6">
        <v>2024</v>
      </c>
    </row>
    <row r="26" spans="1:11" ht="29.15" x14ac:dyDescent="0.4">
      <c r="A26" s="1" t="s">
        <v>28</v>
      </c>
      <c r="B26" s="1" t="s">
        <v>8</v>
      </c>
      <c r="C26" s="5" t="s">
        <v>26</v>
      </c>
      <c r="D26" s="7" t="s">
        <v>41</v>
      </c>
      <c r="E26" s="1">
        <v>1445</v>
      </c>
      <c r="F26" s="2">
        <v>12</v>
      </c>
      <c r="G26" s="2">
        <f>financials[[#This Row],[Units Sold]]*financials[[#This Row],[Sale Price]]</f>
        <v>17340</v>
      </c>
      <c r="H26" s="2">
        <v>4335</v>
      </c>
      <c r="I26" s="2">
        <v>12831.599999999999</v>
      </c>
      <c r="J26" s="5" t="s">
        <v>18</v>
      </c>
      <c r="K26" s="6">
        <v>2024</v>
      </c>
    </row>
    <row r="27" spans="1:11" ht="29.15" x14ac:dyDescent="0.4">
      <c r="A27" s="1" t="s">
        <v>29</v>
      </c>
      <c r="B27" s="1" t="s">
        <v>25</v>
      </c>
      <c r="C27" s="5" t="s">
        <v>26</v>
      </c>
      <c r="D27" s="7" t="s">
        <v>42</v>
      </c>
      <c r="E27" s="1">
        <v>330</v>
      </c>
      <c r="F27" s="2">
        <v>125</v>
      </c>
      <c r="G27" s="2">
        <f>financials[[#This Row],[Units Sold]]*financials[[#This Row],[Sale Price]]</f>
        <v>41250</v>
      </c>
      <c r="H27" s="2">
        <v>39600</v>
      </c>
      <c r="I27" s="2">
        <v>1237.5</v>
      </c>
      <c r="J27" s="5" t="s">
        <v>18</v>
      </c>
      <c r="K27" s="6" t="s">
        <v>20</v>
      </c>
    </row>
    <row r="28" spans="1:11" ht="29.15" x14ac:dyDescent="0.4">
      <c r="A28" s="1" t="s">
        <v>28</v>
      </c>
      <c r="B28" s="1" t="s">
        <v>11</v>
      </c>
      <c r="C28" s="5" t="s">
        <v>26</v>
      </c>
      <c r="D28" s="7" t="s">
        <v>43</v>
      </c>
      <c r="E28" s="1">
        <v>2671</v>
      </c>
      <c r="F28" s="2">
        <v>12</v>
      </c>
      <c r="G28" s="2">
        <f>financials[[#This Row],[Units Sold]]*financials[[#This Row],[Sale Price]]</f>
        <v>32052</v>
      </c>
      <c r="H28" s="2">
        <v>8013</v>
      </c>
      <c r="I28" s="2">
        <v>23718.48</v>
      </c>
      <c r="J28" s="5" t="s">
        <v>18</v>
      </c>
      <c r="K28" s="6">
        <v>2024</v>
      </c>
    </row>
    <row r="29" spans="1:11" ht="29.15" x14ac:dyDescent="0.4">
      <c r="A29" s="1" t="s">
        <v>28</v>
      </c>
      <c r="B29" s="1" t="s">
        <v>10</v>
      </c>
      <c r="C29" s="5" t="s">
        <v>26</v>
      </c>
      <c r="D29" s="7" t="s">
        <v>44</v>
      </c>
      <c r="E29" s="1">
        <v>766</v>
      </c>
      <c r="F29" s="2">
        <v>12</v>
      </c>
      <c r="G29" s="2">
        <f>financials[[#This Row],[Units Sold]]*financials[[#This Row],[Sale Price]]</f>
        <v>9192</v>
      </c>
      <c r="H29" s="2">
        <v>2298</v>
      </c>
      <c r="I29" s="2">
        <v>6802.08</v>
      </c>
      <c r="J29" s="5" t="s">
        <v>19</v>
      </c>
      <c r="K29" s="6" t="s">
        <v>20</v>
      </c>
    </row>
    <row r="30" spans="1:11" ht="29.15" x14ac:dyDescent="0.4">
      <c r="A30" s="1" t="s">
        <v>30</v>
      </c>
      <c r="B30" s="1" t="s">
        <v>13</v>
      </c>
      <c r="C30" s="5" t="s">
        <v>26</v>
      </c>
      <c r="D30" s="7" t="s">
        <v>45</v>
      </c>
      <c r="E30" s="1">
        <v>1397</v>
      </c>
      <c r="F30" s="2">
        <v>350</v>
      </c>
      <c r="G30" s="2">
        <f>financials[[#This Row],[Units Sold]]*financials[[#This Row],[Sale Price]]</f>
        <v>488950</v>
      </c>
      <c r="H30" s="2">
        <v>363220</v>
      </c>
      <c r="I30" s="2">
        <v>120840.5</v>
      </c>
      <c r="J30" s="5" t="s">
        <v>19</v>
      </c>
      <c r="K30" s="6">
        <v>2024</v>
      </c>
    </row>
    <row r="31" spans="1:11" x14ac:dyDescent="0.4">
      <c r="A31" s="1" t="s">
        <v>31</v>
      </c>
      <c r="B31" s="1" t="s">
        <v>13</v>
      </c>
      <c r="C31" s="5" t="s">
        <v>27</v>
      </c>
      <c r="D31" s="7" t="s">
        <v>46</v>
      </c>
      <c r="E31" s="1">
        <v>2214</v>
      </c>
      <c r="F31" s="2">
        <v>15</v>
      </c>
      <c r="G31" s="2">
        <f>financials[[#This Row],[Units Sold]]*financials[[#This Row],[Sale Price]]</f>
        <v>33210</v>
      </c>
      <c r="H31" s="2">
        <v>22140</v>
      </c>
      <c r="I31" s="2">
        <v>10737.900000000001</v>
      </c>
      <c r="J31" s="5" t="s">
        <v>15</v>
      </c>
      <c r="K31" s="6">
        <v>2024</v>
      </c>
    </row>
    <row r="32" spans="1:11" x14ac:dyDescent="0.4">
      <c r="A32" s="1" t="s">
        <v>30</v>
      </c>
      <c r="B32" s="1" t="s">
        <v>8</v>
      </c>
      <c r="C32" s="5" t="s">
        <v>27</v>
      </c>
      <c r="D32" s="7" t="s">
        <v>47</v>
      </c>
      <c r="E32" s="1">
        <v>1830</v>
      </c>
      <c r="F32" s="2">
        <v>7</v>
      </c>
      <c r="G32" s="2">
        <f>financials[[#This Row],[Units Sold]]*financials[[#This Row],[Sale Price]]</f>
        <v>12810</v>
      </c>
      <c r="H32" s="2">
        <v>9150</v>
      </c>
      <c r="I32" s="2">
        <v>3531.8999999999996</v>
      </c>
      <c r="J32" s="5" t="s">
        <v>17</v>
      </c>
      <c r="K32" s="6">
        <v>2024</v>
      </c>
    </row>
    <row r="33" spans="1:11" x14ac:dyDescent="0.4">
      <c r="A33" s="1" t="s">
        <v>29</v>
      </c>
      <c r="B33" s="1" t="s">
        <v>13</v>
      </c>
      <c r="C33" s="5" t="s">
        <v>35</v>
      </c>
      <c r="D33" s="7" t="s">
        <v>48</v>
      </c>
      <c r="E33" s="1">
        <v>1823</v>
      </c>
      <c r="F33" s="2">
        <v>125</v>
      </c>
      <c r="G33" s="2">
        <f>financials[[#This Row],[Units Sold]]*financials[[#This Row],[Sale Price]]</f>
        <v>227875</v>
      </c>
      <c r="H33" s="2">
        <v>218760</v>
      </c>
      <c r="I33" s="2">
        <v>6836.25</v>
      </c>
      <c r="J33" s="5" t="s">
        <v>16</v>
      </c>
      <c r="K33" s="6">
        <v>2024</v>
      </c>
    </row>
    <row r="34" spans="1:11" x14ac:dyDescent="0.4">
      <c r="A34" s="1" t="s">
        <v>31</v>
      </c>
      <c r="B34" s="1" t="s">
        <v>10</v>
      </c>
      <c r="C34" s="5" t="s">
        <v>35</v>
      </c>
      <c r="D34" s="7" t="s">
        <v>49</v>
      </c>
      <c r="E34" s="1">
        <v>747</v>
      </c>
      <c r="F34" s="2">
        <v>15</v>
      </c>
      <c r="G34" s="2">
        <f>financials[[#This Row],[Units Sold]]*financials[[#This Row],[Sale Price]]</f>
        <v>11205</v>
      </c>
      <c r="H34" s="2">
        <v>7470</v>
      </c>
      <c r="I34" s="2">
        <v>3622.9500000000007</v>
      </c>
      <c r="J34" s="5" t="s">
        <v>18</v>
      </c>
      <c r="K34" s="6">
        <v>2024</v>
      </c>
    </row>
    <row r="35" spans="1:11" x14ac:dyDescent="0.4">
      <c r="A35" s="1" t="s">
        <v>28</v>
      </c>
      <c r="B35" s="1" t="s">
        <v>10</v>
      </c>
      <c r="C35" s="5" t="s">
        <v>35</v>
      </c>
      <c r="D35" s="7" t="s">
        <v>50</v>
      </c>
      <c r="E35" s="1">
        <v>766</v>
      </c>
      <c r="F35" s="2">
        <v>12</v>
      </c>
      <c r="G35" s="2">
        <f>financials[[#This Row],[Units Sold]]*financials[[#This Row],[Sale Price]]</f>
        <v>9192</v>
      </c>
      <c r="H35" s="2">
        <v>2298</v>
      </c>
      <c r="I35" s="2">
        <v>6802.08</v>
      </c>
      <c r="J35" s="5" t="s">
        <v>19</v>
      </c>
      <c r="K35" s="6" t="s">
        <v>20</v>
      </c>
    </row>
    <row r="36" spans="1:11" ht="29.15" x14ac:dyDescent="0.4">
      <c r="A36" s="1" t="s">
        <v>32</v>
      </c>
      <c r="B36" s="1" t="s">
        <v>25</v>
      </c>
      <c r="C36" s="5" t="s">
        <v>35</v>
      </c>
      <c r="D36" s="7" t="s">
        <v>51</v>
      </c>
      <c r="E36" s="1">
        <v>2905</v>
      </c>
      <c r="F36" s="2">
        <v>300</v>
      </c>
      <c r="G36" s="2">
        <f>financials[[#This Row],[Units Sold]]*financials[[#This Row],[Sale Price]]</f>
        <v>871500</v>
      </c>
      <c r="H36" s="2">
        <v>726250</v>
      </c>
      <c r="I36" s="2">
        <v>136535</v>
      </c>
      <c r="J36" s="5" t="s">
        <v>22</v>
      </c>
      <c r="K36" s="6">
        <v>2024</v>
      </c>
    </row>
    <row r="37" spans="1:11" x14ac:dyDescent="0.4">
      <c r="A37" s="1" t="s">
        <v>30</v>
      </c>
      <c r="B37" s="1" t="s">
        <v>13</v>
      </c>
      <c r="C37" s="5" t="s">
        <v>36</v>
      </c>
      <c r="D37" s="7" t="s">
        <v>52</v>
      </c>
      <c r="E37" s="1">
        <v>362</v>
      </c>
      <c r="F37" s="2">
        <v>7</v>
      </c>
      <c r="G37" s="2">
        <f>financials[[#This Row],[Units Sold]]*financials[[#This Row],[Sale Price]]</f>
        <v>2534</v>
      </c>
      <c r="H37" s="2">
        <v>1810</v>
      </c>
      <c r="I37" s="2">
        <v>698.65999999999985</v>
      </c>
      <c r="J37" s="5" t="s">
        <v>23</v>
      </c>
      <c r="K37" s="6">
        <v>2024</v>
      </c>
    </row>
    <row r="38" spans="1:11" x14ac:dyDescent="0.4">
      <c r="A38" s="1" t="s">
        <v>28</v>
      </c>
      <c r="B38" s="1" t="s">
        <v>25</v>
      </c>
      <c r="C38" s="5" t="s">
        <v>36</v>
      </c>
      <c r="D38" s="7" t="s">
        <v>53</v>
      </c>
      <c r="E38" s="1">
        <v>1989</v>
      </c>
      <c r="F38" s="2">
        <v>12</v>
      </c>
      <c r="G38" s="2">
        <f>financials[[#This Row],[Units Sold]]*financials[[#This Row],[Sale Price]]</f>
        <v>23868</v>
      </c>
      <c r="H38" s="2">
        <v>5967</v>
      </c>
      <c r="I38" s="2">
        <v>17662.32</v>
      </c>
      <c r="J38" s="5" t="s">
        <v>18</v>
      </c>
      <c r="K38" s="6" t="s">
        <v>20</v>
      </c>
    </row>
    <row r="39" spans="1:11" x14ac:dyDescent="0.4">
      <c r="A39" s="1" t="s">
        <v>30</v>
      </c>
      <c r="B39" s="1" t="s">
        <v>11</v>
      </c>
      <c r="C39" s="5" t="s">
        <v>26</v>
      </c>
      <c r="D39" s="7" t="s">
        <v>54</v>
      </c>
      <c r="E39" s="1">
        <v>2145</v>
      </c>
      <c r="F39" s="2">
        <v>7</v>
      </c>
      <c r="G39" s="2">
        <f>financials[[#This Row],[Units Sold]]*financials[[#This Row],[Sale Price]]</f>
        <v>15015</v>
      </c>
      <c r="H39" s="2">
        <v>10725</v>
      </c>
      <c r="I39" s="2">
        <v>3989.7000000000007</v>
      </c>
      <c r="J39" s="5" t="s">
        <v>22</v>
      </c>
      <c r="K39" s="6" t="s">
        <v>20</v>
      </c>
    </row>
    <row r="40" spans="1:11" x14ac:dyDescent="0.4">
      <c r="A40" s="1" t="s">
        <v>29</v>
      </c>
      <c r="B40" s="1" t="s">
        <v>13</v>
      </c>
      <c r="C40" s="5" t="s">
        <v>27</v>
      </c>
      <c r="D40" s="7" t="s">
        <v>55</v>
      </c>
      <c r="E40" s="1">
        <v>1660</v>
      </c>
      <c r="F40" s="2">
        <v>125</v>
      </c>
      <c r="G40" s="2">
        <f>financials[[#This Row],[Units Sold]]*financials[[#This Row],[Sale Price]]</f>
        <v>207500</v>
      </c>
      <c r="H40" s="2">
        <v>199200</v>
      </c>
      <c r="I40" s="2">
        <v>4150</v>
      </c>
      <c r="J40" s="5" t="s">
        <v>22</v>
      </c>
      <c r="K40" s="6" t="s">
        <v>20</v>
      </c>
    </row>
    <row r="41" spans="1:11" ht="29.15" x14ac:dyDescent="0.4">
      <c r="A41" s="1" t="s">
        <v>31</v>
      </c>
      <c r="B41" s="1" t="s">
        <v>8</v>
      </c>
      <c r="C41" s="5" t="s">
        <v>35</v>
      </c>
      <c r="D41" s="7" t="s">
        <v>37</v>
      </c>
      <c r="E41" s="1">
        <v>2363</v>
      </c>
      <c r="F41" s="2">
        <v>15</v>
      </c>
      <c r="G41" s="2">
        <f>financials[[#This Row],[Units Sold]]*financials[[#This Row],[Sale Price]]</f>
        <v>35445</v>
      </c>
      <c r="H41" s="2">
        <v>23630</v>
      </c>
      <c r="I41" s="2">
        <v>11106.099999999999</v>
      </c>
      <c r="J41" s="5" t="s">
        <v>21</v>
      </c>
      <c r="K41" s="6">
        <v>2024</v>
      </c>
    </row>
    <row r="42" spans="1:11" ht="29.15" x14ac:dyDescent="0.4">
      <c r="A42" s="1" t="s">
        <v>32</v>
      </c>
      <c r="B42" s="1" t="s">
        <v>11</v>
      </c>
      <c r="C42" s="5" t="s">
        <v>35</v>
      </c>
      <c r="D42" s="7" t="s">
        <v>38</v>
      </c>
      <c r="E42" s="1">
        <v>918</v>
      </c>
      <c r="F42" s="2">
        <v>300</v>
      </c>
      <c r="G42" s="2">
        <f>financials[[#This Row],[Units Sold]]*financials[[#This Row],[Sale Price]]</f>
        <v>275400</v>
      </c>
      <c r="H42" s="2">
        <v>229500</v>
      </c>
      <c r="I42" s="2">
        <v>40392</v>
      </c>
      <c r="J42" s="5" t="s">
        <v>23</v>
      </c>
      <c r="K42" s="6">
        <v>2024</v>
      </c>
    </row>
    <row r="43" spans="1:11" ht="29.15" x14ac:dyDescent="0.4">
      <c r="A43" s="1" t="s">
        <v>32</v>
      </c>
      <c r="B43" s="1" t="s">
        <v>10</v>
      </c>
      <c r="C43" s="5" t="s">
        <v>35</v>
      </c>
      <c r="D43" s="7" t="s">
        <v>39</v>
      </c>
      <c r="E43" s="1">
        <v>1728</v>
      </c>
      <c r="F43" s="2">
        <v>300</v>
      </c>
      <c r="G43" s="2">
        <f>financials[[#This Row],[Units Sold]]*financials[[#This Row],[Sale Price]]</f>
        <v>518400</v>
      </c>
      <c r="H43" s="2">
        <v>432000</v>
      </c>
      <c r="I43" s="2">
        <v>76032</v>
      </c>
      <c r="J43" s="5" t="s">
        <v>23</v>
      </c>
      <c r="K43" s="6">
        <v>2024</v>
      </c>
    </row>
    <row r="44" spans="1:11" ht="29.15" x14ac:dyDescent="0.4">
      <c r="A44" s="1" t="s">
        <v>28</v>
      </c>
      <c r="B44" s="1" t="s">
        <v>25</v>
      </c>
      <c r="C44" s="5" t="s">
        <v>35</v>
      </c>
      <c r="D44" s="7" t="s">
        <v>40</v>
      </c>
      <c r="E44" s="1">
        <v>1142</v>
      </c>
      <c r="F44" s="2">
        <v>12</v>
      </c>
      <c r="G44" s="2">
        <f>financials[[#This Row],[Units Sold]]*financials[[#This Row],[Sale Price]]</f>
        <v>13704</v>
      </c>
      <c r="H44" s="2">
        <v>3426</v>
      </c>
      <c r="I44" s="2">
        <v>10003.92</v>
      </c>
      <c r="J44" s="5" t="s">
        <v>12</v>
      </c>
      <c r="K44" s="6">
        <v>2024</v>
      </c>
    </row>
    <row r="45" spans="1:11" ht="29.15" x14ac:dyDescent="0.4">
      <c r="A45" s="1" t="s">
        <v>29</v>
      </c>
      <c r="B45" s="1" t="s">
        <v>13</v>
      </c>
      <c r="C45" s="5" t="s">
        <v>35</v>
      </c>
      <c r="D45" s="7" t="s">
        <v>41</v>
      </c>
      <c r="E45" s="1">
        <v>662</v>
      </c>
      <c r="F45" s="2">
        <v>125</v>
      </c>
      <c r="G45" s="2">
        <f>financials[[#This Row],[Units Sold]]*financials[[#This Row],[Sale Price]]</f>
        <v>82750</v>
      </c>
      <c r="H45" s="2">
        <v>79440</v>
      </c>
      <c r="I45" s="2">
        <v>1655</v>
      </c>
      <c r="J45" s="5" t="s">
        <v>12</v>
      </c>
      <c r="K45" s="6">
        <v>2024</v>
      </c>
    </row>
    <row r="46" spans="1:11" ht="29.15" x14ac:dyDescent="0.4">
      <c r="A46" s="1" t="s">
        <v>28</v>
      </c>
      <c r="B46" s="1" t="s">
        <v>8</v>
      </c>
      <c r="C46" s="5" t="s">
        <v>35</v>
      </c>
      <c r="D46" s="7" t="s">
        <v>42</v>
      </c>
      <c r="E46" s="1">
        <v>1295</v>
      </c>
      <c r="F46" s="2">
        <v>12</v>
      </c>
      <c r="G46" s="2">
        <f>financials[[#This Row],[Units Sold]]*financials[[#This Row],[Sale Price]]</f>
        <v>15540</v>
      </c>
      <c r="H46" s="2">
        <v>3885</v>
      </c>
      <c r="I46" s="2">
        <v>11344.2</v>
      </c>
      <c r="J46" s="5" t="s">
        <v>19</v>
      </c>
      <c r="K46" s="6">
        <v>2024</v>
      </c>
    </row>
    <row r="47" spans="1:11" ht="29.15" x14ac:dyDescent="0.4">
      <c r="A47" s="1" t="s">
        <v>29</v>
      </c>
      <c r="B47" s="1" t="s">
        <v>10</v>
      </c>
      <c r="C47" s="5" t="s">
        <v>35</v>
      </c>
      <c r="D47" s="7" t="s">
        <v>43</v>
      </c>
      <c r="E47" s="1">
        <v>809</v>
      </c>
      <c r="F47" s="2">
        <v>125</v>
      </c>
      <c r="G47" s="2">
        <f>financials[[#This Row],[Units Sold]]*financials[[#This Row],[Sale Price]]</f>
        <v>101125</v>
      </c>
      <c r="H47" s="2">
        <v>97080</v>
      </c>
      <c r="I47" s="2">
        <v>2022.5</v>
      </c>
      <c r="J47" s="5" t="s">
        <v>19</v>
      </c>
      <c r="K47" s="6" t="s">
        <v>20</v>
      </c>
    </row>
    <row r="48" spans="1:11" ht="29.15" x14ac:dyDescent="0.4">
      <c r="A48" s="1" t="s">
        <v>29</v>
      </c>
      <c r="B48" s="1" t="s">
        <v>13</v>
      </c>
      <c r="C48" s="5" t="s">
        <v>35</v>
      </c>
      <c r="D48" s="7" t="s">
        <v>44</v>
      </c>
      <c r="E48" s="1">
        <v>2145</v>
      </c>
      <c r="F48" s="2">
        <v>125</v>
      </c>
      <c r="G48" s="2">
        <f>financials[[#This Row],[Units Sold]]*financials[[#This Row],[Sale Price]]</f>
        <v>268125</v>
      </c>
      <c r="H48" s="2">
        <v>257400</v>
      </c>
      <c r="I48" s="2">
        <v>5362.5</v>
      </c>
      <c r="J48" s="5" t="s">
        <v>19</v>
      </c>
      <c r="K48" s="6" t="s">
        <v>20</v>
      </c>
    </row>
    <row r="49" spans="1:11" ht="29.15" x14ac:dyDescent="0.4">
      <c r="A49" s="1" t="s">
        <v>32</v>
      </c>
      <c r="B49" s="1" t="s">
        <v>8</v>
      </c>
      <c r="C49" s="5" t="s">
        <v>35</v>
      </c>
      <c r="D49" s="7" t="s">
        <v>45</v>
      </c>
      <c r="E49" s="1">
        <v>1916</v>
      </c>
      <c r="F49" s="2">
        <v>300</v>
      </c>
      <c r="G49" s="2">
        <f>financials[[#This Row],[Units Sold]]*financials[[#This Row],[Sale Price]]</f>
        <v>574800</v>
      </c>
      <c r="H49" s="2">
        <v>479000</v>
      </c>
      <c r="I49" s="2">
        <v>84304</v>
      </c>
      <c r="J49" s="5" t="s">
        <v>14</v>
      </c>
      <c r="K49" s="6">
        <v>2024</v>
      </c>
    </row>
    <row r="50" spans="1:11" x14ac:dyDescent="0.4">
      <c r="A50" s="1" t="s">
        <v>29</v>
      </c>
      <c r="B50" s="1" t="s">
        <v>11</v>
      </c>
      <c r="C50" s="5" t="s">
        <v>26</v>
      </c>
      <c r="D50" s="7" t="s">
        <v>48</v>
      </c>
      <c r="E50" s="1">
        <v>4243.5</v>
      </c>
      <c r="F50" s="2">
        <v>125</v>
      </c>
      <c r="G50" s="2">
        <f>financials[[#This Row],[Units Sold]]*financials[[#This Row],[Sale Price]]</f>
        <v>530437.5</v>
      </c>
      <c r="H50" s="2">
        <v>509220</v>
      </c>
      <c r="I50" s="2">
        <v>5304.375</v>
      </c>
      <c r="J50" s="5" t="s">
        <v>24</v>
      </c>
      <c r="K50" s="6">
        <v>2024</v>
      </c>
    </row>
    <row r="51" spans="1:11" x14ac:dyDescent="0.4">
      <c r="A51" s="1" t="s">
        <v>30</v>
      </c>
      <c r="B51" s="1" t="s">
        <v>10</v>
      </c>
      <c r="C51" s="5" t="s">
        <v>26</v>
      </c>
      <c r="D51" s="7" t="s">
        <v>49</v>
      </c>
      <c r="E51" s="1">
        <v>2580</v>
      </c>
      <c r="F51" s="2">
        <v>20</v>
      </c>
      <c r="G51" s="2">
        <f>financials[[#This Row],[Units Sold]]*financials[[#This Row],[Sale Price]]</f>
        <v>51600</v>
      </c>
      <c r="H51" s="2">
        <v>25800</v>
      </c>
      <c r="I51" s="2">
        <v>24252</v>
      </c>
      <c r="J51" s="5" t="s">
        <v>24</v>
      </c>
      <c r="K51" s="6">
        <v>2024</v>
      </c>
    </row>
    <row r="52" spans="1:11" x14ac:dyDescent="0.4">
      <c r="A52" s="1" t="s">
        <v>32</v>
      </c>
      <c r="B52" s="1" t="s">
        <v>10</v>
      </c>
      <c r="C52" s="5" t="s">
        <v>26</v>
      </c>
      <c r="D52" s="7" t="s">
        <v>50</v>
      </c>
      <c r="E52" s="1">
        <v>689</v>
      </c>
      <c r="F52" s="2">
        <v>300</v>
      </c>
      <c r="G52" s="2">
        <f>financials[[#This Row],[Units Sold]]*financials[[#This Row],[Sale Price]]</f>
        <v>206700</v>
      </c>
      <c r="H52" s="2">
        <v>172250</v>
      </c>
      <c r="I52" s="2">
        <v>28249</v>
      </c>
      <c r="J52" s="5" t="s">
        <v>12</v>
      </c>
      <c r="K52" s="6">
        <v>2024</v>
      </c>
    </row>
    <row r="53" spans="1:11" ht="29.15" x14ac:dyDescent="0.4">
      <c r="A53" s="1" t="s">
        <v>28</v>
      </c>
      <c r="B53" s="1" t="s">
        <v>25</v>
      </c>
      <c r="C53" s="5" t="s">
        <v>26</v>
      </c>
      <c r="D53" s="7" t="s">
        <v>51</v>
      </c>
      <c r="E53" s="1">
        <v>1947</v>
      </c>
      <c r="F53" s="2">
        <v>12</v>
      </c>
      <c r="G53" s="2">
        <f>financials[[#This Row],[Units Sold]]*financials[[#This Row],[Sale Price]]</f>
        <v>23364</v>
      </c>
      <c r="H53" s="2">
        <v>5841</v>
      </c>
      <c r="I53" s="2">
        <v>16822.080000000002</v>
      </c>
      <c r="J53" s="5" t="s">
        <v>18</v>
      </c>
      <c r="K53" s="6">
        <v>2024</v>
      </c>
    </row>
    <row r="54" spans="1:11" x14ac:dyDescent="0.4">
      <c r="A54" s="1" t="s">
        <v>31</v>
      </c>
      <c r="B54" s="1" t="s">
        <v>10</v>
      </c>
      <c r="C54" s="5" t="s">
        <v>35</v>
      </c>
      <c r="D54" s="7" t="s">
        <v>55</v>
      </c>
      <c r="E54" s="1">
        <v>1945</v>
      </c>
      <c r="F54" s="2">
        <v>15</v>
      </c>
      <c r="G54" s="2">
        <f>financials[[#This Row],[Units Sold]]*financials[[#This Row],[Sale Price]]</f>
        <v>29175</v>
      </c>
      <c r="H54" s="2">
        <v>19450</v>
      </c>
      <c r="I54" s="2">
        <v>8849.75</v>
      </c>
      <c r="J54" s="5" t="s">
        <v>19</v>
      </c>
      <c r="K54" s="6" t="s">
        <v>20</v>
      </c>
    </row>
    <row r="55" spans="1:11" ht="29.15" x14ac:dyDescent="0.4">
      <c r="A55" s="1" t="s">
        <v>29</v>
      </c>
      <c r="B55" s="1" t="s">
        <v>11</v>
      </c>
      <c r="C55" s="5" t="s">
        <v>35</v>
      </c>
      <c r="D55" s="7" t="s">
        <v>37</v>
      </c>
      <c r="E55" s="1">
        <v>1287</v>
      </c>
      <c r="F55" s="2">
        <v>125</v>
      </c>
      <c r="G55" s="2">
        <f>financials[[#This Row],[Units Sold]]*financials[[#This Row],[Sale Price]]</f>
        <v>160875</v>
      </c>
      <c r="H55" s="2">
        <v>154440</v>
      </c>
      <c r="I55" s="2">
        <v>1608.75</v>
      </c>
      <c r="J55" s="5" t="s">
        <v>14</v>
      </c>
      <c r="K55" s="6">
        <v>2024</v>
      </c>
    </row>
    <row r="56" spans="1:11" ht="29.15" x14ac:dyDescent="0.4">
      <c r="A56" s="1" t="s">
        <v>29</v>
      </c>
      <c r="B56" s="1" t="s">
        <v>10</v>
      </c>
      <c r="C56" s="5" t="s">
        <v>35</v>
      </c>
      <c r="D56" s="7" t="s">
        <v>38</v>
      </c>
      <c r="E56" s="1">
        <v>1706</v>
      </c>
      <c r="F56" s="2">
        <v>125</v>
      </c>
      <c r="G56" s="2">
        <f>financials[[#This Row],[Units Sold]]*financials[[#This Row],[Sale Price]]</f>
        <v>213250</v>
      </c>
      <c r="H56" s="2">
        <v>204720</v>
      </c>
      <c r="I56" s="2">
        <v>2132.5</v>
      </c>
      <c r="J56" s="5" t="s">
        <v>14</v>
      </c>
      <c r="K56" s="6">
        <v>2024</v>
      </c>
    </row>
    <row r="57" spans="1:11" ht="29.15" x14ac:dyDescent="0.4">
      <c r="A57" s="1" t="s">
        <v>29</v>
      </c>
      <c r="B57" s="1" t="s">
        <v>8</v>
      </c>
      <c r="C57" s="5" t="s">
        <v>36</v>
      </c>
      <c r="D57" s="7" t="s">
        <v>39</v>
      </c>
      <c r="E57" s="1">
        <v>2009</v>
      </c>
      <c r="F57" s="2">
        <v>125</v>
      </c>
      <c r="G57" s="2">
        <f>financials[[#This Row],[Units Sold]]*financials[[#This Row],[Sale Price]]</f>
        <v>251125</v>
      </c>
      <c r="H57" s="2">
        <v>241080</v>
      </c>
      <c r="I57" s="2">
        <v>2511.25</v>
      </c>
      <c r="J57" s="5" t="s">
        <v>19</v>
      </c>
      <c r="K57" s="6">
        <v>2024</v>
      </c>
    </row>
    <row r="58" spans="1:11" ht="29.15" x14ac:dyDescent="0.4">
      <c r="A58" s="1" t="s">
        <v>30</v>
      </c>
      <c r="B58" s="1" t="s">
        <v>8</v>
      </c>
      <c r="C58" s="5" t="s">
        <v>26</v>
      </c>
      <c r="D58" s="7" t="s">
        <v>40</v>
      </c>
      <c r="E58" s="1">
        <v>831</v>
      </c>
      <c r="F58" s="2">
        <v>20</v>
      </c>
      <c r="G58" s="2">
        <f>financials[[#This Row],[Units Sold]]*financials[[#This Row],[Sale Price]]</f>
        <v>16620</v>
      </c>
      <c r="H58" s="2">
        <v>8310</v>
      </c>
      <c r="I58" s="2">
        <v>7811.4</v>
      </c>
      <c r="J58" s="5" t="s">
        <v>23</v>
      </c>
      <c r="K58" s="6">
        <v>2024</v>
      </c>
    </row>
    <row r="59" spans="1:11" ht="29.15" x14ac:dyDescent="0.4">
      <c r="A59" s="1" t="s">
        <v>30</v>
      </c>
      <c r="B59" s="1" t="s">
        <v>13</v>
      </c>
      <c r="C59" s="5" t="s">
        <v>35</v>
      </c>
      <c r="D59" s="7" t="s">
        <v>41</v>
      </c>
      <c r="E59" s="1">
        <v>1760</v>
      </c>
      <c r="F59" s="2">
        <v>7</v>
      </c>
      <c r="G59" s="2">
        <f>financials[[#This Row],[Units Sold]]*financials[[#This Row],[Sale Price]]</f>
        <v>12320</v>
      </c>
      <c r="H59" s="2">
        <v>8800</v>
      </c>
      <c r="I59" s="2">
        <v>3150.3999999999996</v>
      </c>
      <c r="J59" s="5" t="s">
        <v>18</v>
      </c>
      <c r="K59" s="6" t="s">
        <v>20</v>
      </c>
    </row>
    <row r="60" spans="1:11" ht="29.15" x14ac:dyDescent="0.4">
      <c r="A60" s="1" t="s">
        <v>30</v>
      </c>
      <c r="B60" s="1" t="s">
        <v>8</v>
      </c>
      <c r="C60" s="5" t="s">
        <v>36</v>
      </c>
      <c r="D60" s="7" t="s">
        <v>42</v>
      </c>
      <c r="E60" s="1">
        <v>3850.5</v>
      </c>
      <c r="F60" s="2">
        <v>20</v>
      </c>
      <c r="G60" s="2">
        <f>financials[[#This Row],[Units Sold]]*financials[[#This Row],[Sale Price]]</f>
        <v>77010</v>
      </c>
      <c r="H60" s="2">
        <v>38505</v>
      </c>
      <c r="I60" s="2">
        <v>36194.700000000004</v>
      </c>
      <c r="J60" s="5" t="s">
        <v>24</v>
      </c>
      <c r="K60" s="6">
        <v>2024</v>
      </c>
    </row>
    <row r="61" spans="1:11" ht="29.15" x14ac:dyDescent="0.4">
      <c r="A61" s="1" t="s">
        <v>31</v>
      </c>
      <c r="B61" s="1" t="s">
        <v>13</v>
      </c>
      <c r="C61" s="5" t="s">
        <v>27</v>
      </c>
      <c r="D61" s="7" t="s">
        <v>43</v>
      </c>
      <c r="E61" s="1">
        <v>2031</v>
      </c>
      <c r="F61" s="2">
        <v>15</v>
      </c>
      <c r="G61" s="2">
        <f>financials[[#This Row],[Units Sold]]*financials[[#This Row],[Sale Price]]</f>
        <v>30465</v>
      </c>
      <c r="H61" s="2">
        <v>20310</v>
      </c>
      <c r="I61" s="2">
        <v>8936.4000000000015</v>
      </c>
      <c r="J61" s="5" t="s">
        <v>19</v>
      </c>
      <c r="K61" s="6">
        <v>2024</v>
      </c>
    </row>
    <row r="62" spans="1:11" ht="29.15" x14ac:dyDescent="0.4">
      <c r="A62" s="1" t="s">
        <v>31</v>
      </c>
      <c r="B62" s="1" t="s">
        <v>13</v>
      </c>
      <c r="C62" s="5" t="s">
        <v>35</v>
      </c>
      <c r="D62" s="7" t="s">
        <v>44</v>
      </c>
      <c r="E62" s="1">
        <v>2031</v>
      </c>
      <c r="F62" s="2">
        <v>15</v>
      </c>
      <c r="G62" s="2">
        <f>financials[[#This Row],[Units Sold]]*financials[[#This Row],[Sale Price]]</f>
        <v>30465</v>
      </c>
      <c r="H62" s="2">
        <v>20310</v>
      </c>
      <c r="I62" s="2">
        <v>8936.4000000000015</v>
      </c>
      <c r="J62" s="5" t="s">
        <v>19</v>
      </c>
      <c r="K62" s="6">
        <v>2024</v>
      </c>
    </row>
    <row r="63" spans="1:11" ht="29.15" x14ac:dyDescent="0.4">
      <c r="A63" s="1" t="s">
        <v>30</v>
      </c>
      <c r="B63" s="1" t="s">
        <v>8</v>
      </c>
      <c r="C63" s="5" t="s">
        <v>26</v>
      </c>
      <c r="D63" s="7" t="s">
        <v>45</v>
      </c>
      <c r="E63" s="1">
        <v>2851</v>
      </c>
      <c r="F63" s="2">
        <v>7</v>
      </c>
      <c r="G63" s="2">
        <f>financials[[#This Row],[Units Sold]]*financials[[#This Row],[Sale Price]]</f>
        <v>19957</v>
      </c>
      <c r="H63" s="2">
        <v>14255</v>
      </c>
      <c r="I63" s="2">
        <v>4903.7200000000012</v>
      </c>
      <c r="J63" s="5" t="s">
        <v>19</v>
      </c>
      <c r="K63" s="6" t="s">
        <v>20</v>
      </c>
    </row>
    <row r="64" spans="1:11" x14ac:dyDescent="0.4">
      <c r="A64" s="1" t="s">
        <v>30</v>
      </c>
      <c r="B64" s="1" t="s">
        <v>25</v>
      </c>
      <c r="C64" s="5" t="s">
        <v>26</v>
      </c>
      <c r="D64" s="7" t="s">
        <v>46</v>
      </c>
      <c r="E64" s="1">
        <v>274</v>
      </c>
      <c r="F64" s="2">
        <v>350</v>
      </c>
      <c r="G64" s="2">
        <f>financials[[#This Row],[Units Sold]]*financials[[#This Row],[Sale Price]]</f>
        <v>95900</v>
      </c>
      <c r="H64" s="2">
        <v>71240</v>
      </c>
      <c r="I64" s="2">
        <v>20824</v>
      </c>
      <c r="J64" s="5" t="s">
        <v>14</v>
      </c>
      <c r="K64" s="6">
        <v>2024</v>
      </c>
    </row>
    <row r="65" spans="1:11" x14ac:dyDescent="0.4">
      <c r="A65" s="1" t="s">
        <v>30</v>
      </c>
      <c r="B65" s="1" t="s">
        <v>8</v>
      </c>
      <c r="C65" s="5" t="s">
        <v>27</v>
      </c>
      <c r="D65" s="7" t="s">
        <v>47</v>
      </c>
      <c r="E65" s="1">
        <v>2851</v>
      </c>
      <c r="F65" s="2">
        <v>7</v>
      </c>
      <c r="G65" s="2">
        <f>financials[[#This Row],[Units Sold]]*financials[[#This Row],[Sale Price]]</f>
        <v>19957</v>
      </c>
      <c r="H65" s="2">
        <v>14255</v>
      </c>
      <c r="I65" s="2">
        <v>4903.7200000000012</v>
      </c>
      <c r="J65" s="5" t="s">
        <v>19</v>
      </c>
      <c r="K65" s="6" t="s">
        <v>20</v>
      </c>
    </row>
    <row r="66" spans="1:11" x14ac:dyDescent="0.4">
      <c r="A66" s="1" t="s">
        <v>30</v>
      </c>
      <c r="B66" s="1" t="s">
        <v>25</v>
      </c>
      <c r="C66" s="5" t="s">
        <v>35</v>
      </c>
      <c r="D66" s="7" t="s">
        <v>48</v>
      </c>
      <c r="E66" s="1">
        <v>3450</v>
      </c>
      <c r="F66" s="2">
        <v>350</v>
      </c>
      <c r="G66" s="2">
        <f>financials[[#This Row],[Units Sold]]*financials[[#This Row],[Sale Price]]</f>
        <v>1207500</v>
      </c>
      <c r="H66" s="2">
        <v>897000</v>
      </c>
      <c r="I66" s="2">
        <v>262200</v>
      </c>
      <c r="J66" s="5" t="s">
        <v>16</v>
      </c>
      <c r="K66" s="6">
        <v>2024</v>
      </c>
    </row>
    <row r="67" spans="1:11" x14ac:dyDescent="0.4">
      <c r="A67" s="1" t="s">
        <v>29</v>
      </c>
      <c r="B67" s="1" t="s">
        <v>11</v>
      </c>
      <c r="C67" s="5" t="s">
        <v>35</v>
      </c>
      <c r="D67" s="7" t="s">
        <v>49</v>
      </c>
      <c r="E67" s="1">
        <v>2988</v>
      </c>
      <c r="F67" s="2">
        <v>125</v>
      </c>
      <c r="G67" s="2">
        <f>financials[[#This Row],[Units Sold]]*financials[[#This Row],[Sale Price]]</f>
        <v>373500</v>
      </c>
      <c r="H67" s="2">
        <v>358560</v>
      </c>
      <c r="I67" s="2">
        <v>0</v>
      </c>
      <c r="J67" s="5" t="s">
        <v>16</v>
      </c>
      <c r="K67" s="6">
        <v>2024</v>
      </c>
    </row>
    <row r="68" spans="1:11" x14ac:dyDescent="0.4">
      <c r="A68" s="1" t="s">
        <v>31</v>
      </c>
      <c r="B68" s="1" t="s">
        <v>8</v>
      </c>
      <c r="C68" s="5" t="s">
        <v>35</v>
      </c>
      <c r="D68" s="7" t="s">
        <v>50</v>
      </c>
      <c r="E68" s="1">
        <v>218</v>
      </c>
      <c r="F68" s="2">
        <v>15</v>
      </c>
      <c r="G68" s="2">
        <f>financials[[#This Row],[Units Sold]]*financials[[#This Row],[Sale Price]]</f>
        <v>3270</v>
      </c>
      <c r="H68" s="2">
        <v>2180</v>
      </c>
      <c r="I68" s="2">
        <v>959.19999999999982</v>
      </c>
      <c r="J68" s="5" t="s">
        <v>18</v>
      </c>
      <c r="K68" s="6">
        <v>2024</v>
      </c>
    </row>
    <row r="69" spans="1:11" ht="29.15" x14ac:dyDescent="0.4">
      <c r="A69" s="1" t="s">
        <v>30</v>
      </c>
      <c r="B69" s="1" t="s">
        <v>8</v>
      </c>
      <c r="C69" s="5" t="s">
        <v>35</v>
      </c>
      <c r="D69" s="7" t="s">
        <v>51</v>
      </c>
      <c r="E69" s="1">
        <v>2074</v>
      </c>
      <c r="F69" s="2">
        <v>20</v>
      </c>
      <c r="G69" s="2">
        <f>financials[[#This Row],[Units Sold]]*financials[[#This Row],[Sale Price]]</f>
        <v>41480</v>
      </c>
      <c r="H69" s="2">
        <v>20740</v>
      </c>
      <c r="I69" s="2">
        <v>19080.800000000003</v>
      </c>
      <c r="J69" s="5" t="s">
        <v>18</v>
      </c>
      <c r="K69" s="6">
        <v>2024</v>
      </c>
    </row>
    <row r="70" spans="1:11" x14ac:dyDescent="0.4">
      <c r="A70" s="1" t="s">
        <v>31</v>
      </c>
      <c r="B70" s="1" t="s">
        <v>13</v>
      </c>
      <c r="C70" s="5" t="s">
        <v>35</v>
      </c>
      <c r="D70" s="7" t="s">
        <v>52</v>
      </c>
      <c r="E70" s="1">
        <v>1514</v>
      </c>
      <c r="F70" s="2">
        <v>15</v>
      </c>
      <c r="G70" s="2">
        <f>financials[[#This Row],[Units Sold]]*financials[[#This Row],[Sale Price]]</f>
        <v>22710</v>
      </c>
      <c r="H70" s="2">
        <v>15140</v>
      </c>
      <c r="I70" s="2">
        <v>6661.5999999999985</v>
      </c>
      <c r="J70" s="5" t="s">
        <v>19</v>
      </c>
      <c r="K70" s="6" t="s">
        <v>20</v>
      </c>
    </row>
    <row r="71" spans="1:11" x14ac:dyDescent="0.4">
      <c r="A71" s="1" t="s">
        <v>29</v>
      </c>
      <c r="B71" s="1" t="s">
        <v>13</v>
      </c>
      <c r="C71" s="5" t="s">
        <v>35</v>
      </c>
      <c r="D71" s="7" t="s">
        <v>53</v>
      </c>
      <c r="E71" s="1">
        <v>1138</v>
      </c>
      <c r="F71" s="2">
        <v>125</v>
      </c>
      <c r="G71" s="2">
        <f>financials[[#This Row],[Units Sold]]*financials[[#This Row],[Sale Price]]</f>
        <v>142250</v>
      </c>
      <c r="H71" s="2">
        <v>136560</v>
      </c>
      <c r="I71" s="2">
        <v>0</v>
      </c>
      <c r="J71" s="5" t="s">
        <v>14</v>
      </c>
      <c r="K71" s="6">
        <v>2024</v>
      </c>
    </row>
    <row r="72" spans="1:11" x14ac:dyDescent="0.4">
      <c r="A72" s="1" t="s">
        <v>30</v>
      </c>
      <c r="B72" s="1" t="s">
        <v>10</v>
      </c>
      <c r="C72" s="5" t="s">
        <v>27</v>
      </c>
      <c r="D72" s="7" t="s">
        <v>54</v>
      </c>
      <c r="E72" s="1">
        <v>1159</v>
      </c>
      <c r="F72" s="2">
        <v>7</v>
      </c>
      <c r="G72" s="2">
        <f>financials[[#This Row],[Units Sold]]*financials[[#This Row],[Sale Price]]</f>
        <v>8113</v>
      </c>
      <c r="H72" s="2">
        <v>5795</v>
      </c>
      <c r="I72" s="2">
        <v>1912.3500000000004</v>
      </c>
      <c r="J72" s="5" t="s">
        <v>19</v>
      </c>
      <c r="K72" s="6" t="s">
        <v>20</v>
      </c>
    </row>
    <row r="73" spans="1:11" x14ac:dyDescent="0.4">
      <c r="A73" s="1" t="s">
        <v>28</v>
      </c>
      <c r="B73" s="1" t="s">
        <v>8</v>
      </c>
      <c r="C73" s="5" t="s">
        <v>36</v>
      </c>
      <c r="D73" s="7" t="s">
        <v>55</v>
      </c>
      <c r="E73" s="1">
        <v>2431</v>
      </c>
      <c r="F73" s="2">
        <v>12</v>
      </c>
      <c r="G73" s="2">
        <f>financials[[#This Row],[Units Sold]]*financials[[#This Row],[Sale Price]]</f>
        <v>29172</v>
      </c>
      <c r="H73" s="2">
        <v>7293</v>
      </c>
      <c r="I73" s="2">
        <v>20420.400000000001</v>
      </c>
      <c r="J73" s="5" t="s">
        <v>14</v>
      </c>
      <c r="K73" s="6">
        <v>2024</v>
      </c>
    </row>
    <row r="74" spans="1:11" ht="29.15" x14ac:dyDescent="0.4">
      <c r="A74" s="1" t="s">
        <v>30</v>
      </c>
      <c r="B74" s="1" t="s">
        <v>10</v>
      </c>
      <c r="C74" s="5" t="s">
        <v>36</v>
      </c>
      <c r="D74" s="7" t="s">
        <v>37</v>
      </c>
      <c r="E74" s="1">
        <v>1159</v>
      </c>
      <c r="F74" s="2">
        <v>7</v>
      </c>
      <c r="G74" s="2">
        <f>financials[[#This Row],[Units Sold]]*financials[[#This Row],[Sale Price]]</f>
        <v>8113</v>
      </c>
      <c r="H74" s="2">
        <v>5795</v>
      </c>
      <c r="I74" s="2">
        <v>1912.3500000000004</v>
      </c>
      <c r="J74" s="5" t="s">
        <v>19</v>
      </c>
      <c r="K74" s="6" t="s">
        <v>20</v>
      </c>
    </row>
    <row r="75" spans="1:11" ht="29.15" x14ac:dyDescent="0.4">
      <c r="A75" s="1" t="s">
        <v>28</v>
      </c>
      <c r="B75" s="1" t="s">
        <v>11</v>
      </c>
      <c r="C75" s="5" t="s">
        <v>26</v>
      </c>
      <c r="D75" s="7" t="s">
        <v>38</v>
      </c>
      <c r="E75" s="1">
        <v>1865</v>
      </c>
      <c r="F75" s="2">
        <v>12</v>
      </c>
      <c r="G75" s="2">
        <f>financials[[#This Row],[Units Sold]]*financials[[#This Row],[Sale Price]]</f>
        <v>22380</v>
      </c>
      <c r="H75" s="2">
        <v>5595</v>
      </c>
      <c r="I75" s="2">
        <v>15666</v>
      </c>
      <c r="J75" s="5" t="s">
        <v>21</v>
      </c>
      <c r="K75" s="6">
        <v>2024</v>
      </c>
    </row>
    <row r="76" spans="1:11" ht="29.15" x14ac:dyDescent="0.4">
      <c r="A76" s="1" t="s">
        <v>28</v>
      </c>
      <c r="B76" s="1" t="s">
        <v>10</v>
      </c>
      <c r="C76" s="5" t="s">
        <v>26</v>
      </c>
      <c r="D76" s="7" t="s">
        <v>39</v>
      </c>
      <c r="E76" s="1">
        <v>1116</v>
      </c>
      <c r="F76" s="2">
        <v>12</v>
      </c>
      <c r="G76" s="2">
        <f>financials[[#This Row],[Units Sold]]*financials[[#This Row],[Sale Price]]</f>
        <v>13392</v>
      </c>
      <c r="H76" s="2">
        <v>3348</v>
      </c>
      <c r="I76" s="2">
        <v>9374.4</v>
      </c>
      <c r="J76" s="5" t="s">
        <v>21</v>
      </c>
      <c r="K76" s="6">
        <v>2024</v>
      </c>
    </row>
    <row r="77" spans="1:11" ht="29.15" x14ac:dyDescent="0.4">
      <c r="A77" s="1" t="s">
        <v>30</v>
      </c>
      <c r="B77" s="1" t="s">
        <v>11</v>
      </c>
      <c r="C77" s="5" t="s">
        <v>26</v>
      </c>
      <c r="D77" s="7" t="s">
        <v>40</v>
      </c>
      <c r="E77" s="1">
        <v>1563</v>
      </c>
      <c r="F77" s="2">
        <v>20</v>
      </c>
      <c r="G77" s="2">
        <f>financials[[#This Row],[Units Sold]]*financials[[#This Row],[Sale Price]]</f>
        <v>31260</v>
      </c>
      <c r="H77" s="2">
        <v>15630</v>
      </c>
      <c r="I77" s="2">
        <v>14067</v>
      </c>
      <c r="J77" s="5" t="s">
        <v>23</v>
      </c>
      <c r="K77" s="6">
        <v>2024</v>
      </c>
    </row>
    <row r="78" spans="1:11" ht="29.15" x14ac:dyDescent="0.4">
      <c r="A78" s="1" t="s">
        <v>32</v>
      </c>
      <c r="B78" s="1" t="s">
        <v>25</v>
      </c>
      <c r="C78" s="5" t="s">
        <v>26</v>
      </c>
      <c r="D78" s="7" t="s">
        <v>41</v>
      </c>
      <c r="E78" s="1">
        <v>991</v>
      </c>
      <c r="F78" s="2">
        <v>300</v>
      </c>
      <c r="G78" s="2">
        <f>financials[[#This Row],[Units Sold]]*financials[[#This Row],[Sale Price]]</f>
        <v>297300</v>
      </c>
      <c r="H78" s="2">
        <v>247750</v>
      </c>
      <c r="I78" s="2">
        <v>34685</v>
      </c>
      <c r="J78" s="5" t="s">
        <v>12</v>
      </c>
      <c r="K78" s="6">
        <v>2024</v>
      </c>
    </row>
    <row r="79" spans="1:11" ht="29.15" x14ac:dyDescent="0.4">
      <c r="A79" s="1" t="s">
        <v>30</v>
      </c>
      <c r="B79" s="1" t="s">
        <v>10</v>
      </c>
      <c r="C79" s="5" t="s">
        <v>26</v>
      </c>
      <c r="D79" s="7" t="s">
        <v>42</v>
      </c>
      <c r="E79" s="1">
        <v>1016</v>
      </c>
      <c r="F79" s="2">
        <v>7</v>
      </c>
      <c r="G79" s="2">
        <f>financials[[#This Row],[Units Sold]]*financials[[#This Row],[Sale Price]]</f>
        <v>7112</v>
      </c>
      <c r="H79" s="2">
        <v>5080</v>
      </c>
      <c r="I79" s="2">
        <v>1676.3999999999996</v>
      </c>
      <c r="J79" s="5" t="s">
        <v>22</v>
      </c>
      <c r="K79" s="6" t="s">
        <v>20</v>
      </c>
    </row>
    <row r="80" spans="1:11" ht="29.15" x14ac:dyDescent="0.4">
      <c r="A80" s="1" t="s">
        <v>31</v>
      </c>
      <c r="B80" s="1" t="s">
        <v>13</v>
      </c>
      <c r="C80" s="5" t="s">
        <v>26</v>
      </c>
      <c r="D80" s="7" t="s">
        <v>43</v>
      </c>
      <c r="E80" s="1">
        <v>2791</v>
      </c>
      <c r="F80" s="2">
        <v>15</v>
      </c>
      <c r="G80" s="2">
        <f>financials[[#This Row],[Units Sold]]*financials[[#This Row],[Sale Price]]</f>
        <v>41865</v>
      </c>
      <c r="H80" s="2">
        <v>27910</v>
      </c>
      <c r="I80" s="2">
        <v>11861.75</v>
      </c>
      <c r="J80" s="5" t="s">
        <v>22</v>
      </c>
      <c r="K80" s="6">
        <v>2024</v>
      </c>
    </row>
    <row r="81" spans="1:11" ht="29.15" x14ac:dyDescent="0.4">
      <c r="A81" s="1" t="s">
        <v>30</v>
      </c>
      <c r="B81" s="1" t="s">
        <v>25</v>
      </c>
      <c r="C81" s="5" t="s">
        <v>26</v>
      </c>
      <c r="D81" s="7" t="s">
        <v>44</v>
      </c>
      <c r="E81" s="1">
        <v>570</v>
      </c>
      <c r="F81" s="2">
        <v>7</v>
      </c>
      <c r="G81" s="2">
        <f>financials[[#This Row],[Units Sold]]*financials[[#This Row],[Sale Price]]</f>
        <v>3990</v>
      </c>
      <c r="H81" s="2">
        <v>2850</v>
      </c>
      <c r="I81" s="2">
        <v>940.5</v>
      </c>
      <c r="J81" s="5" t="s">
        <v>14</v>
      </c>
      <c r="K81" s="6">
        <v>2024</v>
      </c>
    </row>
    <row r="82" spans="1:11" x14ac:dyDescent="0.4">
      <c r="A82" s="1" t="s">
        <v>31</v>
      </c>
      <c r="B82" s="1" t="s">
        <v>11</v>
      </c>
      <c r="C82" s="5" t="s">
        <v>35</v>
      </c>
      <c r="D82" s="7" t="s">
        <v>48</v>
      </c>
      <c r="E82" s="1">
        <v>2620</v>
      </c>
      <c r="F82" s="2">
        <v>15</v>
      </c>
      <c r="G82" s="2">
        <f>financials[[#This Row],[Units Sold]]*financials[[#This Row],[Sale Price]]</f>
        <v>39300</v>
      </c>
      <c r="H82" s="2">
        <v>26200</v>
      </c>
      <c r="I82" s="2">
        <v>11135</v>
      </c>
      <c r="J82" s="5" t="s">
        <v>18</v>
      </c>
      <c r="K82" s="6">
        <v>2024</v>
      </c>
    </row>
    <row r="83" spans="1:11" x14ac:dyDescent="0.4">
      <c r="A83" s="1" t="s">
        <v>30</v>
      </c>
      <c r="B83" s="1" t="s">
        <v>8</v>
      </c>
      <c r="C83" s="5" t="s">
        <v>35</v>
      </c>
      <c r="D83" s="7" t="s">
        <v>49</v>
      </c>
      <c r="E83" s="1">
        <v>1228</v>
      </c>
      <c r="F83" s="2">
        <v>350</v>
      </c>
      <c r="G83" s="2">
        <f>financials[[#This Row],[Units Sold]]*financials[[#This Row],[Sale Price]]</f>
        <v>429800</v>
      </c>
      <c r="H83" s="2">
        <v>319280</v>
      </c>
      <c r="I83" s="2">
        <v>89030</v>
      </c>
      <c r="J83" s="5" t="s">
        <v>19</v>
      </c>
      <c r="K83" s="6" t="s">
        <v>20</v>
      </c>
    </row>
    <row r="84" spans="1:11" x14ac:dyDescent="0.4">
      <c r="A84" s="1" t="s">
        <v>30</v>
      </c>
      <c r="B84" s="1" t="s">
        <v>8</v>
      </c>
      <c r="C84" s="5" t="s">
        <v>35</v>
      </c>
      <c r="D84" s="7" t="s">
        <v>50</v>
      </c>
      <c r="E84" s="1">
        <v>1389</v>
      </c>
      <c r="F84" s="2">
        <v>20</v>
      </c>
      <c r="G84" s="2">
        <f>financials[[#This Row],[Units Sold]]*financials[[#This Row],[Sale Price]]</f>
        <v>27780</v>
      </c>
      <c r="H84" s="2">
        <v>13890</v>
      </c>
      <c r="I84" s="2">
        <v>12501</v>
      </c>
      <c r="J84" s="5" t="s">
        <v>19</v>
      </c>
      <c r="K84" s="6" t="s">
        <v>20</v>
      </c>
    </row>
    <row r="85" spans="1:11" ht="29.15" x14ac:dyDescent="0.4">
      <c r="A85" s="1" t="s">
        <v>29</v>
      </c>
      <c r="B85" s="1" t="s">
        <v>25</v>
      </c>
      <c r="C85" s="5" t="s">
        <v>35</v>
      </c>
      <c r="D85" s="7" t="s">
        <v>51</v>
      </c>
      <c r="E85" s="1">
        <v>861</v>
      </c>
      <c r="F85" s="2">
        <v>125</v>
      </c>
      <c r="G85" s="2">
        <f>financials[[#This Row],[Units Sold]]*financials[[#This Row],[Sale Price]]</f>
        <v>107625</v>
      </c>
      <c r="H85" s="2">
        <v>103320</v>
      </c>
      <c r="I85" s="2">
        <v>-1076.25</v>
      </c>
      <c r="J85" s="5" t="s">
        <v>19</v>
      </c>
      <c r="K85" s="6">
        <v>2024</v>
      </c>
    </row>
    <row r="86" spans="1:11" x14ac:dyDescent="0.4">
      <c r="A86" s="1" t="s">
        <v>30</v>
      </c>
      <c r="B86" s="1" t="s">
        <v>25</v>
      </c>
      <c r="C86" s="5" t="s">
        <v>36</v>
      </c>
      <c r="D86" s="7" t="s">
        <v>54</v>
      </c>
      <c r="E86" s="1">
        <v>2832</v>
      </c>
      <c r="F86" s="2">
        <v>20</v>
      </c>
      <c r="G86" s="2">
        <f>financials[[#This Row],[Units Sold]]*financials[[#This Row],[Sale Price]]</f>
        <v>56640</v>
      </c>
      <c r="H86" s="2">
        <v>28320</v>
      </c>
      <c r="I86" s="2">
        <v>25488</v>
      </c>
      <c r="J86" s="5" t="s">
        <v>17</v>
      </c>
      <c r="K86" s="6">
        <v>2024</v>
      </c>
    </row>
    <row r="87" spans="1:11" x14ac:dyDescent="0.4">
      <c r="A87" s="1" t="s">
        <v>31</v>
      </c>
      <c r="B87" s="1" t="s">
        <v>11</v>
      </c>
      <c r="C87" s="5" t="s">
        <v>35</v>
      </c>
      <c r="D87" s="7" t="s">
        <v>55</v>
      </c>
      <c r="E87" s="1">
        <v>3801</v>
      </c>
      <c r="F87" s="2">
        <v>15</v>
      </c>
      <c r="G87" s="2">
        <f>financials[[#This Row],[Units Sold]]*financials[[#This Row],[Sale Price]]</f>
        <v>57015</v>
      </c>
      <c r="H87" s="2">
        <v>38010</v>
      </c>
      <c r="I87" s="2">
        <v>15584.100000000002</v>
      </c>
      <c r="J87" s="5" t="s">
        <v>24</v>
      </c>
      <c r="K87" s="6">
        <v>2024</v>
      </c>
    </row>
    <row r="88" spans="1:11" ht="29.15" x14ac:dyDescent="0.4">
      <c r="A88" s="1" t="s">
        <v>30</v>
      </c>
      <c r="B88" s="1" t="s">
        <v>25</v>
      </c>
      <c r="C88" s="5" t="s">
        <v>26</v>
      </c>
      <c r="D88" s="7" t="s">
        <v>37</v>
      </c>
      <c r="E88" s="1">
        <v>1117.5</v>
      </c>
      <c r="F88" s="2">
        <v>20</v>
      </c>
      <c r="G88" s="2">
        <f>financials[[#This Row],[Units Sold]]*financials[[#This Row],[Sale Price]]</f>
        <v>22350</v>
      </c>
      <c r="H88" s="2">
        <v>11175</v>
      </c>
      <c r="I88" s="2">
        <v>9834</v>
      </c>
      <c r="J88" s="5" t="s">
        <v>9</v>
      </c>
      <c r="K88" s="6">
        <v>2024</v>
      </c>
    </row>
    <row r="89" spans="1:11" ht="29.15" x14ac:dyDescent="0.4">
      <c r="A89" s="1" t="s">
        <v>31</v>
      </c>
      <c r="B89" s="1" t="s">
        <v>8</v>
      </c>
      <c r="C89" s="5" t="s">
        <v>26</v>
      </c>
      <c r="D89" s="7" t="s">
        <v>38</v>
      </c>
      <c r="E89" s="1">
        <v>2844</v>
      </c>
      <c r="F89" s="2">
        <v>15</v>
      </c>
      <c r="G89" s="2">
        <f>financials[[#This Row],[Units Sold]]*financials[[#This Row],[Sale Price]]</f>
        <v>42660</v>
      </c>
      <c r="H89" s="2">
        <v>28440</v>
      </c>
      <c r="I89" s="2">
        <v>11660.400000000001</v>
      </c>
      <c r="J89" s="5" t="s">
        <v>12</v>
      </c>
      <c r="K89" s="6">
        <v>2024</v>
      </c>
    </row>
    <row r="90" spans="1:11" ht="29.15" x14ac:dyDescent="0.4">
      <c r="A90" s="1" t="s">
        <v>28</v>
      </c>
      <c r="B90" s="1" t="s">
        <v>13</v>
      </c>
      <c r="C90" s="5" t="s">
        <v>26</v>
      </c>
      <c r="D90" s="7" t="s">
        <v>39</v>
      </c>
      <c r="E90" s="1">
        <v>562</v>
      </c>
      <c r="F90" s="2">
        <v>12</v>
      </c>
      <c r="G90" s="2">
        <f>financials[[#This Row],[Units Sold]]*financials[[#This Row],[Sale Price]]</f>
        <v>6744</v>
      </c>
      <c r="H90" s="2">
        <v>1686</v>
      </c>
      <c r="I90" s="2">
        <v>4653.3599999999997</v>
      </c>
      <c r="J90" s="5" t="s">
        <v>18</v>
      </c>
      <c r="K90" s="6">
        <v>2024</v>
      </c>
    </row>
    <row r="91" spans="1:11" ht="29.15" x14ac:dyDescent="0.4">
      <c r="A91" s="1" t="s">
        <v>28</v>
      </c>
      <c r="B91" s="1" t="s">
        <v>8</v>
      </c>
      <c r="C91" s="5" t="s">
        <v>26</v>
      </c>
      <c r="D91" s="7" t="s">
        <v>40</v>
      </c>
      <c r="E91" s="1">
        <v>2299</v>
      </c>
      <c r="F91" s="2">
        <v>12</v>
      </c>
      <c r="G91" s="2">
        <f>financials[[#This Row],[Units Sold]]*financials[[#This Row],[Sale Price]]</f>
        <v>27588</v>
      </c>
      <c r="H91" s="2">
        <v>6897</v>
      </c>
      <c r="I91" s="2">
        <v>19035.72</v>
      </c>
      <c r="J91" s="5" t="s">
        <v>19</v>
      </c>
      <c r="K91" s="6" t="s">
        <v>20</v>
      </c>
    </row>
    <row r="92" spans="1:11" ht="29.15" x14ac:dyDescent="0.4">
      <c r="A92" s="1" t="s">
        <v>31</v>
      </c>
      <c r="B92" s="1" t="s">
        <v>25</v>
      </c>
      <c r="C92" s="5" t="s">
        <v>26</v>
      </c>
      <c r="D92" s="7" t="s">
        <v>41</v>
      </c>
      <c r="E92" s="1">
        <v>2030</v>
      </c>
      <c r="F92" s="2">
        <v>15</v>
      </c>
      <c r="G92" s="2">
        <f>financials[[#This Row],[Units Sold]]*financials[[#This Row],[Sale Price]]</f>
        <v>30450</v>
      </c>
      <c r="H92" s="2">
        <v>20300</v>
      </c>
      <c r="I92" s="2">
        <v>8323</v>
      </c>
      <c r="J92" s="5" t="s">
        <v>22</v>
      </c>
      <c r="K92" s="6">
        <v>2024</v>
      </c>
    </row>
    <row r="93" spans="1:11" ht="29.15" x14ac:dyDescent="0.4">
      <c r="A93" s="1" t="s">
        <v>30</v>
      </c>
      <c r="B93" s="1" t="s">
        <v>25</v>
      </c>
      <c r="C93" s="5" t="s">
        <v>26</v>
      </c>
      <c r="D93" s="7" t="s">
        <v>42</v>
      </c>
      <c r="E93" s="1">
        <v>263</v>
      </c>
      <c r="F93" s="2">
        <v>7</v>
      </c>
      <c r="G93" s="2">
        <f>financials[[#This Row],[Units Sold]]*financials[[#This Row],[Sale Price]]</f>
        <v>1841</v>
      </c>
      <c r="H93" s="2">
        <v>1315</v>
      </c>
      <c r="I93" s="2">
        <v>415.53999999999996</v>
      </c>
      <c r="J93" s="5" t="s">
        <v>22</v>
      </c>
      <c r="K93" s="6" t="s">
        <v>20</v>
      </c>
    </row>
    <row r="94" spans="1:11" ht="29.15" x14ac:dyDescent="0.4">
      <c r="A94" s="1" t="s">
        <v>29</v>
      </c>
      <c r="B94" s="1" t="s">
        <v>10</v>
      </c>
      <c r="C94" s="5" t="s">
        <v>26</v>
      </c>
      <c r="D94" s="7" t="s">
        <v>43</v>
      </c>
      <c r="E94" s="1">
        <v>887</v>
      </c>
      <c r="F94" s="2">
        <v>125</v>
      </c>
      <c r="G94" s="2">
        <f>financials[[#This Row],[Units Sold]]*financials[[#This Row],[Sale Price]]</f>
        <v>110875</v>
      </c>
      <c r="H94" s="2">
        <v>106440</v>
      </c>
      <c r="I94" s="2">
        <v>-2217.5</v>
      </c>
      <c r="J94" s="5" t="s">
        <v>14</v>
      </c>
      <c r="K94" s="6" t="s">
        <v>20</v>
      </c>
    </row>
    <row r="95" spans="1:11" ht="29.15" x14ac:dyDescent="0.4">
      <c r="A95" s="1" t="s">
        <v>30</v>
      </c>
      <c r="B95" s="1" t="s">
        <v>13</v>
      </c>
      <c r="C95" s="5" t="s">
        <v>27</v>
      </c>
      <c r="D95" s="7" t="s">
        <v>44</v>
      </c>
      <c r="E95" s="1">
        <v>980</v>
      </c>
      <c r="F95" s="2">
        <v>350</v>
      </c>
      <c r="G95" s="2">
        <f>financials[[#This Row],[Units Sold]]*financials[[#This Row],[Sale Price]]</f>
        <v>343000</v>
      </c>
      <c r="H95" s="2">
        <v>254800</v>
      </c>
      <c r="I95" s="2">
        <v>67620</v>
      </c>
      <c r="J95" s="5" t="s">
        <v>24</v>
      </c>
      <c r="K95" s="6">
        <v>2024</v>
      </c>
    </row>
    <row r="96" spans="1:11" ht="29.15" x14ac:dyDescent="0.4">
      <c r="A96" s="1" t="s">
        <v>30</v>
      </c>
      <c r="B96" s="1" t="s">
        <v>11</v>
      </c>
      <c r="C96" s="5" t="s">
        <v>27</v>
      </c>
      <c r="D96" s="7" t="s">
        <v>45</v>
      </c>
      <c r="E96" s="1">
        <v>1403</v>
      </c>
      <c r="F96" s="2">
        <v>7</v>
      </c>
      <c r="G96" s="2">
        <f>financials[[#This Row],[Units Sold]]*financials[[#This Row],[Sale Price]]</f>
        <v>9821</v>
      </c>
      <c r="H96" s="2">
        <v>7015</v>
      </c>
      <c r="I96" s="2">
        <v>2216.7399999999998</v>
      </c>
      <c r="J96" s="5" t="s">
        <v>19</v>
      </c>
      <c r="K96" s="6" t="s">
        <v>20</v>
      </c>
    </row>
    <row r="97" spans="1:11" x14ac:dyDescent="0.4">
      <c r="A97" s="1" t="s">
        <v>30</v>
      </c>
      <c r="B97" s="1" t="s">
        <v>11</v>
      </c>
      <c r="C97" s="5" t="s">
        <v>36</v>
      </c>
      <c r="D97" s="7" t="s">
        <v>48</v>
      </c>
      <c r="E97" s="1">
        <v>2076</v>
      </c>
      <c r="F97" s="2">
        <v>350</v>
      </c>
      <c r="G97" s="2">
        <f>financials[[#This Row],[Units Sold]]*financials[[#This Row],[Sale Price]]</f>
        <v>726600</v>
      </c>
      <c r="H97" s="2">
        <v>539760</v>
      </c>
      <c r="I97" s="2">
        <v>143244</v>
      </c>
      <c r="J97" s="5" t="s">
        <v>19</v>
      </c>
      <c r="K97" s="6" t="s">
        <v>20</v>
      </c>
    </row>
    <row r="98" spans="1:11" x14ac:dyDescent="0.4">
      <c r="A98" s="1" t="s">
        <v>30</v>
      </c>
      <c r="B98" s="1" t="s">
        <v>11</v>
      </c>
      <c r="C98" s="5" t="s">
        <v>27</v>
      </c>
      <c r="D98" s="7" t="s">
        <v>49</v>
      </c>
      <c r="E98" s="1">
        <v>1757</v>
      </c>
      <c r="F98" s="2">
        <v>20</v>
      </c>
      <c r="G98" s="2">
        <f>financials[[#This Row],[Units Sold]]*financials[[#This Row],[Sale Price]]</f>
        <v>35140</v>
      </c>
      <c r="H98" s="2">
        <v>17570</v>
      </c>
      <c r="I98" s="2">
        <v>15461.599999999999</v>
      </c>
      <c r="J98" s="5" t="s">
        <v>19</v>
      </c>
      <c r="K98" s="6" t="s">
        <v>20</v>
      </c>
    </row>
    <row r="99" spans="1:11" x14ac:dyDescent="0.4">
      <c r="A99" s="1" t="s">
        <v>31</v>
      </c>
      <c r="B99" s="1" t="s">
        <v>25</v>
      </c>
      <c r="C99" s="5" t="s">
        <v>35</v>
      </c>
      <c r="D99" s="7" t="s">
        <v>50</v>
      </c>
      <c r="E99" s="1">
        <v>2198</v>
      </c>
      <c r="F99" s="2">
        <v>15</v>
      </c>
      <c r="G99" s="2">
        <f>financials[[#This Row],[Units Sold]]*financials[[#This Row],[Sale Price]]</f>
        <v>32970</v>
      </c>
      <c r="H99" s="2">
        <v>21980</v>
      </c>
      <c r="I99" s="2">
        <v>9011.7999999999993</v>
      </c>
      <c r="J99" s="5" t="s">
        <v>17</v>
      </c>
      <c r="K99" s="6">
        <v>2024</v>
      </c>
    </row>
    <row r="100" spans="1:11" ht="29.15" x14ac:dyDescent="0.4">
      <c r="A100" s="1" t="s">
        <v>31</v>
      </c>
      <c r="B100" s="1" t="s">
        <v>10</v>
      </c>
      <c r="C100" s="5" t="s">
        <v>35</v>
      </c>
      <c r="D100" s="7" t="s">
        <v>51</v>
      </c>
      <c r="E100" s="1">
        <v>1743</v>
      </c>
      <c r="F100" s="2">
        <v>15</v>
      </c>
      <c r="G100" s="2">
        <f>financials[[#This Row],[Units Sold]]*financials[[#This Row],[Sale Price]]</f>
        <v>26145</v>
      </c>
      <c r="H100" s="2">
        <v>17430</v>
      </c>
      <c r="I100" s="2">
        <v>7146.2999999999993</v>
      </c>
      <c r="J100" s="5" t="s">
        <v>17</v>
      </c>
      <c r="K100" s="6">
        <v>2024</v>
      </c>
    </row>
    <row r="101" spans="1:11" x14ac:dyDescent="0.4">
      <c r="A101" s="1" t="s">
        <v>30</v>
      </c>
      <c r="B101" s="1" t="s">
        <v>25</v>
      </c>
      <c r="C101" s="5" t="s">
        <v>26</v>
      </c>
      <c r="D101" s="7" t="s">
        <v>55</v>
      </c>
      <c r="E101" s="1">
        <v>1761</v>
      </c>
      <c r="F101" s="2">
        <v>350</v>
      </c>
      <c r="G101" s="2">
        <f>financials[[#This Row],[Units Sold]]*financials[[#This Row],[Sale Price]]</f>
        <v>616350</v>
      </c>
      <c r="H101" s="2">
        <v>457860</v>
      </c>
      <c r="I101" s="2">
        <v>115345.5</v>
      </c>
      <c r="J101" s="5" t="s">
        <v>15</v>
      </c>
      <c r="K101" s="6">
        <v>2024</v>
      </c>
    </row>
    <row r="102" spans="1:11" ht="29.15" x14ac:dyDescent="0.4">
      <c r="A102" s="1" t="s">
        <v>32</v>
      </c>
      <c r="B102" s="1" t="s">
        <v>11</v>
      </c>
      <c r="C102" s="5" t="s">
        <v>26</v>
      </c>
      <c r="D102" s="7" t="s">
        <v>37</v>
      </c>
      <c r="E102" s="1">
        <v>448</v>
      </c>
      <c r="F102" s="2">
        <v>300</v>
      </c>
      <c r="G102" s="2">
        <f>financials[[#This Row],[Units Sold]]*financials[[#This Row],[Sale Price]]</f>
        <v>134400</v>
      </c>
      <c r="H102" s="2">
        <v>112000</v>
      </c>
      <c r="I102" s="2">
        <v>12992</v>
      </c>
      <c r="J102" s="5" t="s">
        <v>12</v>
      </c>
      <c r="K102" s="6">
        <v>2024</v>
      </c>
    </row>
    <row r="103" spans="1:11" ht="29.15" x14ac:dyDescent="0.4">
      <c r="A103" s="1" t="s">
        <v>32</v>
      </c>
      <c r="B103" s="1" t="s">
        <v>11</v>
      </c>
      <c r="C103" s="5" t="s">
        <v>26</v>
      </c>
      <c r="D103" s="7" t="s">
        <v>38</v>
      </c>
      <c r="E103" s="1">
        <v>2181</v>
      </c>
      <c r="F103" s="2">
        <v>300</v>
      </c>
      <c r="G103" s="2">
        <f>financials[[#This Row],[Units Sold]]*financials[[#This Row],[Sale Price]]</f>
        <v>654300</v>
      </c>
      <c r="H103" s="2">
        <v>545250</v>
      </c>
      <c r="I103" s="2">
        <v>63249</v>
      </c>
      <c r="J103" s="5" t="s">
        <v>19</v>
      </c>
      <c r="K103" s="6">
        <v>2024</v>
      </c>
    </row>
    <row r="104" spans="1:11" ht="29.15" x14ac:dyDescent="0.4">
      <c r="A104" s="1" t="s">
        <v>30</v>
      </c>
      <c r="B104" s="1" t="s">
        <v>11</v>
      </c>
      <c r="C104" s="5" t="s">
        <v>27</v>
      </c>
      <c r="D104" s="7" t="s">
        <v>39</v>
      </c>
      <c r="E104" s="1">
        <v>1976</v>
      </c>
      <c r="F104" s="2">
        <v>20</v>
      </c>
      <c r="G104" s="2">
        <f>financials[[#This Row],[Units Sold]]*financials[[#This Row],[Sale Price]]</f>
        <v>39520</v>
      </c>
      <c r="H104" s="2">
        <v>19760</v>
      </c>
      <c r="I104" s="2">
        <v>16993.599999999999</v>
      </c>
      <c r="J104" s="5" t="s">
        <v>19</v>
      </c>
      <c r="K104" s="6">
        <v>2024</v>
      </c>
    </row>
    <row r="105" spans="1:11" ht="29.15" x14ac:dyDescent="0.4">
      <c r="A105" s="1" t="s">
        <v>32</v>
      </c>
      <c r="B105" s="1" t="s">
        <v>11</v>
      </c>
      <c r="C105" s="5" t="s">
        <v>27</v>
      </c>
      <c r="D105" s="7" t="s">
        <v>40</v>
      </c>
      <c r="E105" s="1">
        <v>2181</v>
      </c>
      <c r="F105" s="2">
        <v>300</v>
      </c>
      <c r="G105" s="2">
        <f>financials[[#This Row],[Units Sold]]*financials[[#This Row],[Sale Price]]</f>
        <v>654300</v>
      </c>
      <c r="H105" s="2">
        <v>545250</v>
      </c>
      <c r="I105" s="2">
        <v>63249</v>
      </c>
      <c r="J105" s="5" t="s">
        <v>19</v>
      </c>
      <c r="K105" s="6">
        <v>2024</v>
      </c>
    </row>
    <row r="106" spans="1:11" ht="29.15" x14ac:dyDescent="0.4">
      <c r="A106" s="1" t="s">
        <v>29</v>
      </c>
      <c r="B106" s="1" t="s">
        <v>10</v>
      </c>
      <c r="C106" s="5" t="s">
        <v>27</v>
      </c>
      <c r="D106" s="7" t="s">
        <v>41</v>
      </c>
      <c r="E106" s="1">
        <v>2500</v>
      </c>
      <c r="F106" s="2">
        <v>125</v>
      </c>
      <c r="G106" s="2">
        <f>financials[[#This Row],[Units Sold]]*financials[[#This Row],[Sale Price]]</f>
        <v>312500</v>
      </c>
      <c r="H106" s="2">
        <v>300000</v>
      </c>
      <c r="I106" s="2">
        <v>-9375</v>
      </c>
      <c r="J106" s="5" t="s">
        <v>22</v>
      </c>
      <c r="K106" s="6" t="s">
        <v>20</v>
      </c>
    </row>
    <row r="107" spans="1:11" ht="29.15" x14ac:dyDescent="0.4">
      <c r="A107" s="1" t="s">
        <v>32</v>
      </c>
      <c r="B107" s="1" t="s">
        <v>8</v>
      </c>
      <c r="C107" s="5" t="s">
        <v>35</v>
      </c>
      <c r="D107" s="7" t="s">
        <v>42</v>
      </c>
      <c r="E107" s="1">
        <v>1702</v>
      </c>
      <c r="F107" s="2">
        <v>300</v>
      </c>
      <c r="G107" s="2">
        <f>financials[[#This Row],[Units Sold]]*financials[[#This Row],[Sale Price]]</f>
        <v>510600</v>
      </c>
      <c r="H107" s="2">
        <v>425500</v>
      </c>
      <c r="I107" s="2">
        <v>49358</v>
      </c>
      <c r="J107" s="5" t="s">
        <v>23</v>
      </c>
      <c r="K107" s="6">
        <v>2024</v>
      </c>
    </row>
    <row r="108" spans="1:11" ht="29.15" x14ac:dyDescent="0.4">
      <c r="A108" s="1" t="s">
        <v>32</v>
      </c>
      <c r="B108" s="1" t="s">
        <v>11</v>
      </c>
      <c r="C108" s="5" t="s">
        <v>35</v>
      </c>
      <c r="D108" s="7" t="s">
        <v>43</v>
      </c>
      <c r="E108" s="1">
        <v>448</v>
      </c>
      <c r="F108" s="2">
        <v>300</v>
      </c>
      <c r="G108" s="2">
        <f>financials[[#This Row],[Units Sold]]*financials[[#This Row],[Sale Price]]</f>
        <v>134400</v>
      </c>
      <c r="H108" s="2">
        <v>112000</v>
      </c>
      <c r="I108" s="2">
        <v>12992</v>
      </c>
      <c r="J108" s="5" t="s">
        <v>12</v>
      </c>
      <c r="K108" s="6">
        <v>2024</v>
      </c>
    </row>
    <row r="109" spans="1:11" ht="29.15" x14ac:dyDescent="0.4">
      <c r="A109" s="1" t="s">
        <v>29</v>
      </c>
      <c r="B109" s="1" t="s">
        <v>10</v>
      </c>
      <c r="C109" s="5" t="s">
        <v>35</v>
      </c>
      <c r="D109" s="7" t="s">
        <v>44</v>
      </c>
      <c r="E109" s="1">
        <v>3513</v>
      </c>
      <c r="F109" s="2">
        <v>125</v>
      </c>
      <c r="G109" s="2">
        <f>financials[[#This Row],[Units Sold]]*financials[[#This Row],[Sale Price]]</f>
        <v>439125</v>
      </c>
      <c r="H109" s="2">
        <v>421560</v>
      </c>
      <c r="I109" s="2">
        <v>-13173.75</v>
      </c>
      <c r="J109" s="5" t="s">
        <v>16</v>
      </c>
      <c r="K109" s="6">
        <v>2024</v>
      </c>
    </row>
    <row r="110" spans="1:11" x14ac:dyDescent="0.4">
      <c r="A110" s="1" t="s">
        <v>32</v>
      </c>
      <c r="B110" s="1" t="s">
        <v>10</v>
      </c>
      <c r="C110" s="5" t="s">
        <v>35</v>
      </c>
      <c r="D110" s="7" t="s">
        <v>46</v>
      </c>
      <c r="E110" s="1">
        <v>1123</v>
      </c>
      <c r="F110" s="2">
        <v>300</v>
      </c>
      <c r="G110" s="2">
        <f>financials[[#This Row],[Units Sold]]*financials[[#This Row],[Sale Price]]</f>
        <v>336900</v>
      </c>
      <c r="H110" s="2">
        <v>280750</v>
      </c>
      <c r="I110" s="2">
        <v>32567</v>
      </c>
      <c r="J110" s="5" t="s">
        <v>18</v>
      </c>
      <c r="K110" s="6" t="s">
        <v>20</v>
      </c>
    </row>
    <row r="111" spans="1:11" x14ac:dyDescent="0.4">
      <c r="A111" s="1" t="s">
        <v>30</v>
      </c>
      <c r="B111" s="1" t="s">
        <v>8</v>
      </c>
      <c r="C111" s="5" t="s">
        <v>27</v>
      </c>
      <c r="D111" s="7" t="s">
        <v>48</v>
      </c>
      <c r="E111" s="1">
        <v>488</v>
      </c>
      <c r="F111" s="2">
        <v>7</v>
      </c>
      <c r="G111" s="2">
        <f>financials[[#This Row],[Units Sold]]*financials[[#This Row],[Sale Price]]</f>
        <v>3416</v>
      </c>
      <c r="H111" s="2">
        <v>2440</v>
      </c>
      <c r="I111" s="2">
        <v>702.72000000000025</v>
      </c>
      <c r="J111" s="5" t="s">
        <v>21</v>
      </c>
      <c r="K111" s="6">
        <v>2024</v>
      </c>
    </row>
    <row r="112" spans="1:11" x14ac:dyDescent="0.4">
      <c r="A112" s="1" t="s">
        <v>30</v>
      </c>
      <c r="B112" s="1" t="s">
        <v>25</v>
      </c>
      <c r="C112" s="5" t="s">
        <v>27</v>
      </c>
      <c r="D112" s="7" t="s">
        <v>49</v>
      </c>
      <c r="E112" s="1">
        <v>1282</v>
      </c>
      <c r="F112" s="2">
        <v>20</v>
      </c>
      <c r="G112" s="2">
        <f>financials[[#This Row],[Units Sold]]*financials[[#This Row],[Sale Price]]</f>
        <v>25640</v>
      </c>
      <c r="H112" s="2">
        <v>12820</v>
      </c>
      <c r="I112" s="2">
        <v>10768.8</v>
      </c>
      <c r="J112" s="5" t="s">
        <v>12</v>
      </c>
      <c r="K112" s="6">
        <v>2024</v>
      </c>
    </row>
    <row r="113" spans="1:11" x14ac:dyDescent="0.4">
      <c r="A113" s="1" t="s">
        <v>30</v>
      </c>
      <c r="B113" s="1" t="s">
        <v>8</v>
      </c>
      <c r="C113" s="5" t="s">
        <v>35</v>
      </c>
      <c r="D113" s="7" t="s">
        <v>50</v>
      </c>
      <c r="E113" s="1">
        <v>257</v>
      </c>
      <c r="F113" s="2">
        <v>7</v>
      </c>
      <c r="G113" s="2">
        <f>financials[[#This Row],[Units Sold]]*financials[[#This Row],[Sale Price]]</f>
        <v>1799</v>
      </c>
      <c r="H113" s="2">
        <v>1285</v>
      </c>
      <c r="I113" s="2">
        <v>370.07999999999993</v>
      </c>
      <c r="J113" s="5" t="s">
        <v>23</v>
      </c>
      <c r="K113" s="6">
        <v>2024</v>
      </c>
    </row>
    <row r="114" spans="1:11" ht="29.15" x14ac:dyDescent="0.4">
      <c r="A114" s="1" t="s">
        <v>29</v>
      </c>
      <c r="B114" s="1" t="s">
        <v>13</v>
      </c>
      <c r="C114" s="5" t="s">
        <v>26</v>
      </c>
      <c r="D114" s="7" t="s">
        <v>51</v>
      </c>
      <c r="E114" s="1">
        <v>1540</v>
      </c>
      <c r="F114" s="2">
        <v>125</v>
      </c>
      <c r="G114" s="2">
        <f>financials[[#This Row],[Units Sold]]*financials[[#This Row],[Sale Price]]</f>
        <v>192500</v>
      </c>
      <c r="H114" s="2">
        <v>184800</v>
      </c>
      <c r="I114" s="2">
        <v>-7700</v>
      </c>
      <c r="J114" s="5" t="s">
        <v>17</v>
      </c>
      <c r="K114" s="6">
        <v>2024</v>
      </c>
    </row>
    <row r="115" spans="1:11" x14ac:dyDescent="0.4">
      <c r="A115" s="1" t="s">
        <v>30</v>
      </c>
      <c r="B115" s="1" t="s">
        <v>10</v>
      </c>
      <c r="C115" s="5" t="s">
        <v>35</v>
      </c>
      <c r="D115" s="7" t="s">
        <v>54</v>
      </c>
      <c r="E115" s="1">
        <v>1259</v>
      </c>
      <c r="F115" s="2">
        <v>7</v>
      </c>
      <c r="G115" s="2">
        <f>financials[[#This Row],[Units Sold]]*financials[[#This Row],[Sale Price]]</f>
        <v>8813</v>
      </c>
      <c r="H115" s="2">
        <v>6295</v>
      </c>
      <c r="I115" s="2">
        <v>1812.96</v>
      </c>
      <c r="J115" s="5" t="s">
        <v>24</v>
      </c>
      <c r="K115" s="6">
        <v>2024</v>
      </c>
    </row>
    <row r="116" spans="1:11" x14ac:dyDescent="0.4">
      <c r="A116" s="1" t="s">
        <v>30</v>
      </c>
      <c r="B116" s="1" t="s">
        <v>10</v>
      </c>
      <c r="C116" s="5" t="s">
        <v>35</v>
      </c>
      <c r="D116" s="7" t="s">
        <v>55</v>
      </c>
      <c r="E116" s="1">
        <v>1598</v>
      </c>
      <c r="F116" s="2">
        <v>7</v>
      </c>
      <c r="G116" s="2">
        <f>financials[[#This Row],[Units Sold]]*financials[[#This Row],[Sale Price]]</f>
        <v>11186</v>
      </c>
      <c r="H116" s="2">
        <v>7990</v>
      </c>
      <c r="I116" s="2">
        <v>2301.1200000000008</v>
      </c>
      <c r="J116" s="5" t="s">
        <v>17</v>
      </c>
      <c r="K116" s="6">
        <v>2024</v>
      </c>
    </row>
    <row r="117" spans="1:11" ht="29.15" x14ac:dyDescent="0.4">
      <c r="A117" s="1" t="s">
        <v>30</v>
      </c>
      <c r="B117" s="1" t="s">
        <v>10</v>
      </c>
      <c r="C117" s="5" t="s">
        <v>35</v>
      </c>
      <c r="D117" s="7" t="s">
        <v>37</v>
      </c>
      <c r="E117" s="1">
        <v>2409</v>
      </c>
      <c r="F117" s="2">
        <v>7</v>
      </c>
      <c r="G117" s="2">
        <f>financials[[#This Row],[Units Sold]]*financials[[#This Row],[Sale Price]]</f>
        <v>16863</v>
      </c>
      <c r="H117" s="2">
        <v>12045</v>
      </c>
      <c r="I117" s="2">
        <v>3468.9599999999991</v>
      </c>
      <c r="J117" s="5" t="s">
        <v>18</v>
      </c>
      <c r="K117" s="6" t="s">
        <v>20</v>
      </c>
    </row>
    <row r="118" spans="1:11" ht="29.15" x14ac:dyDescent="0.4">
      <c r="A118" s="1" t="s">
        <v>30</v>
      </c>
      <c r="B118" s="1" t="s">
        <v>10</v>
      </c>
      <c r="C118" s="5" t="s">
        <v>35</v>
      </c>
      <c r="D118" s="7" t="s">
        <v>38</v>
      </c>
      <c r="E118" s="1">
        <v>1934</v>
      </c>
      <c r="F118" s="2">
        <v>20</v>
      </c>
      <c r="G118" s="2">
        <f>financials[[#This Row],[Units Sold]]*financials[[#This Row],[Sale Price]]</f>
        <v>38680</v>
      </c>
      <c r="H118" s="2">
        <v>19340</v>
      </c>
      <c r="I118" s="2">
        <v>16245.599999999999</v>
      </c>
      <c r="J118" s="5" t="s">
        <v>18</v>
      </c>
      <c r="K118" s="6">
        <v>2024</v>
      </c>
    </row>
    <row r="119" spans="1:11" ht="29.15" x14ac:dyDescent="0.4">
      <c r="A119" s="1" t="s">
        <v>30</v>
      </c>
      <c r="B119" s="1" t="s">
        <v>13</v>
      </c>
      <c r="C119" s="5" t="s">
        <v>35</v>
      </c>
      <c r="D119" s="7" t="s">
        <v>39</v>
      </c>
      <c r="E119" s="1">
        <v>2993</v>
      </c>
      <c r="F119" s="2">
        <v>20</v>
      </c>
      <c r="G119" s="2">
        <f>financials[[#This Row],[Units Sold]]*financials[[#This Row],[Sale Price]]</f>
        <v>59860</v>
      </c>
      <c r="H119" s="2">
        <v>29930</v>
      </c>
      <c r="I119" s="2">
        <v>25141.199999999997</v>
      </c>
      <c r="J119" s="5" t="s">
        <v>18</v>
      </c>
      <c r="K119" s="6">
        <v>2024</v>
      </c>
    </row>
    <row r="120" spans="1:11" ht="29.15" x14ac:dyDescent="0.4">
      <c r="A120" s="1" t="s">
        <v>30</v>
      </c>
      <c r="B120" s="1" t="s">
        <v>10</v>
      </c>
      <c r="C120" s="5" t="s">
        <v>35</v>
      </c>
      <c r="D120" s="7" t="s">
        <v>40</v>
      </c>
      <c r="E120" s="1">
        <v>2146</v>
      </c>
      <c r="F120" s="2">
        <v>350</v>
      </c>
      <c r="G120" s="2">
        <f>financials[[#This Row],[Units Sold]]*financials[[#This Row],[Sale Price]]</f>
        <v>751100</v>
      </c>
      <c r="H120" s="2">
        <v>557960</v>
      </c>
      <c r="I120" s="2">
        <v>133052</v>
      </c>
      <c r="J120" s="5" t="s">
        <v>22</v>
      </c>
      <c r="K120" s="6" t="s">
        <v>20</v>
      </c>
    </row>
    <row r="121" spans="1:11" ht="29.15" x14ac:dyDescent="0.4">
      <c r="A121" s="1" t="s">
        <v>30</v>
      </c>
      <c r="B121" s="1" t="s">
        <v>13</v>
      </c>
      <c r="C121" s="5" t="s">
        <v>35</v>
      </c>
      <c r="D121" s="7" t="s">
        <v>41</v>
      </c>
      <c r="E121" s="1">
        <v>1946</v>
      </c>
      <c r="F121" s="2">
        <v>7</v>
      </c>
      <c r="G121" s="2">
        <f>financials[[#This Row],[Units Sold]]*financials[[#This Row],[Sale Price]]</f>
        <v>13622</v>
      </c>
      <c r="H121" s="2">
        <v>9730</v>
      </c>
      <c r="I121" s="2">
        <v>2802.24</v>
      </c>
      <c r="J121" s="5" t="s">
        <v>14</v>
      </c>
      <c r="K121" s="6" t="s">
        <v>20</v>
      </c>
    </row>
    <row r="122" spans="1:11" ht="29.15" x14ac:dyDescent="0.4">
      <c r="A122" s="1" t="s">
        <v>30</v>
      </c>
      <c r="B122" s="1" t="s">
        <v>13</v>
      </c>
      <c r="C122" s="5" t="s">
        <v>35</v>
      </c>
      <c r="D122" s="7" t="s">
        <v>42</v>
      </c>
      <c r="E122" s="1">
        <v>1362</v>
      </c>
      <c r="F122" s="2">
        <v>350</v>
      </c>
      <c r="G122" s="2">
        <f>financials[[#This Row],[Units Sold]]*financials[[#This Row],[Sale Price]]</f>
        <v>476700</v>
      </c>
      <c r="H122" s="2">
        <v>354120</v>
      </c>
      <c r="I122" s="2">
        <v>84444</v>
      </c>
      <c r="J122" s="5" t="s">
        <v>14</v>
      </c>
      <c r="K122" s="6">
        <v>2024</v>
      </c>
    </row>
    <row r="123" spans="1:11" ht="29.15" x14ac:dyDescent="0.4">
      <c r="A123" s="1" t="s">
        <v>28</v>
      </c>
      <c r="B123" s="1" t="s">
        <v>8</v>
      </c>
      <c r="C123" s="5" t="s">
        <v>36</v>
      </c>
      <c r="D123" s="7" t="s">
        <v>43</v>
      </c>
      <c r="E123" s="1">
        <v>598</v>
      </c>
      <c r="F123" s="2">
        <v>12</v>
      </c>
      <c r="G123" s="2">
        <f>financials[[#This Row],[Units Sold]]*financials[[#This Row],[Sale Price]]</f>
        <v>7176</v>
      </c>
      <c r="H123" s="2">
        <v>1794</v>
      </c>
      <c r="I123" s="2">
        <v>4807.92</v>
      </c>
      <c r="J123" s="5" t="s">
        <v>15</v>
      </c>
      <c r="K123" s="6">
        <v>2024</v>
      </c>
    </row>
    <row r="124" spans="1:11" ht="29.15" x14ac:dyDescent="0.4">
      <c r="A124" s="1" t="s">
        <v>30</v>
      </c>
      <c r="B124" s="1" t="s">
        <v>25</v>
      </c>
      <c r="C124" s="5" t="s">
        <v>36</v>
      </c>
      <c r="D124" s="7" t="s">
        <v>44</v>
      </c>
      <c r="E124" s="1">
        <v>2907</v>
      </c>
      <c r="F124" s="2">
        <v>7</v>
      </c>
      <c r="G124" s="2">
        <f>financials[[#This Row],[Units Sold]]*financials[[#This Row],[Sale Price]]</f>
        <v>20349</v>
      </c>
      <c r="H124" s="2">
        <v>14535</v>
      </c>
      <c r="I124" s="2">
        <v>4186.0800000000017</v>
      </c>
      <c r="J124" s="5" t="s">
        <v>12</v>
      </c>
      <c r="K124" s="6">
        <v>2024</v>
      </c>
    </row>
    <row r="125" spans="1:11" ht="29.15" x14ac:dyDescent="0.4">
      <c r="A125" s="1" t="s">
        <v>32</v>
      </c>
      <c r="B125" s="1" t="s">
        <v>13</v>
      </c>
      <c r="C125" s="5" t="s">
        <v>36</v>
      </c>
      <c r="D125" s="7" t="s">
        <v>45</v>
      </c>
      <c r="E125" s="1">
        <v>635</v>
      </c>
      <c r="F125" s="2">
        <v>300</v>
      </c>
      <c r="G125" s="2">
        <f>financials[[#This Row],[Units Sold]]*financials[[#This Row],[Sale Price]]</f>
        <v>190500</v>
      </c>
      <c r="H125" s="2">
        <v>158750</v>
      </c>
      <c r="I125" s="2">
        <v>16510</v>
      </c>
      <c r="J125" s="5" t="s">
        <v>14</v>
      </c>
      <c r="K125" s="6">
        <v>2024</v>
      </c>
    </row>
    <row r="126" spans="1:11" x14ac:dyDescent="0.4">
      <c r="A126" s="1" t="s">
        <v>32</v>
      </c>
      <c r="B126" s="1" t="s">
        <v>8</v>
      </c>
      <c r="C126" s="5" t="s">
        <v>26</v>
      </c>
      <c r="D126" s="7" t="s">
        <v>46</v>
      </c>
      <c r="E126" s="1">
        <v>1094</v>
      </c>
      <c r="F126" s="2">
        <v>300</v>
      </c>
      <c r="G126" s="2">
        <f>financials[[#This Row],[Units Sold]]*financials[[#This Row],[Sale Price]]</f>
        <v>328200</v>
      </c>
      <c r="H126" s="2">
        <v>273500</v>
      </c>
      <c r="I126" s="2">
        <v>25162</v>
      </c>
      <c r="J126" s="5" t="s">
        <v>12</v>
      </c>
      <c r="K126" s="6">
        <v>2024</v>
      </c>
    </row>
    <row r="127" spans="1:11" x14ac:dyDescent="0.4">
      <c r="A127" s="1" t="s">
        <v>32</v>
      </c>
      <c r="B127" s="1" t="s">
        <v>13</v>
      </c>
      <c r="C127" s="5" t="s">
        <v>35</v>
      </c>
      <c r="D127" s="7" t="s">
        <v>48</v>
      </c>
      <c r="E127" s="1">
        <v>2565</v>
      </c>
      <c r="F127" s="2">
        <v>300</v>
      </c>
      <c r="G127" s="2">
        <f>financials[[#This Row],[Units Sold]]*financials[[#This Row],[Sale Price]]</f>
        <v>769500</v>
      </c>
      <c r="H127" s="2">
        <v>641250</v>
      </c>
      <c r="I127" s="2">
        <v>58995</v>
      </c>
      <c r="J127" s="5" t="s">
        <v>9</v>
      </c>
      <c r="K127" s="6">
        <v>2024</v>
      </c>
    </row>
    <row r="128" spans="1:11" x14ac:dyDescent="0.4">
      <c r="A128" s="1" t="s">
        <v>30</v>
      </c>
      <c r="B128" s="1" t="s">
        <v>13</v>
      </c>
      <c r="C128" s="5" t="s">
        <v>35</v>
      </c>
      <c r="D128" s="7" t="s">
        <v>49</v>
      </c>
      <c r="E128" s="1">
        <v>2417</v>
      </c>
      <c r="F128" s="2">
        <v>350</v>
      </c>
      <c r="G128" s="2">
        <f>financials[[#This Row],[Units Sold]]*financials[[#This Row],[Sale Price]]</f>
        <v>845950</v>
      </c>
      <c r="H128" s="2">
        <v>628420</v>
      </c>
      <c r="I128" s="2">
        <v>141394.5</v>
      </c>
      <c r="J128" s="5" t="s">
        <v>9</v>
      </c>
      <c r="K128" s="6">
        <v>2024</v>
      </c>
    </row>
    <row r="129" spans="1:11" x14ac:dyDescent="0.4">
      <c r="A129" s="1" t="s">
        <v>31</v>
      </c>
      <c r="B129" s="1" t="s">
        <v>25</v>
      </c>
      <c r="C129" s="5" t="s">
        <v>35</v>
      </c>
      <c r="D129" s="7" t="s">
        <v>50</v>
      </c>
      <c r="E129" s="1">
        <v>3675</v>
      </c>
      <c r="F129" s="2">
        <v>15</v>
      </c>
      <c r="G129" s="2">
        <f>financials[[#This Row],[Units Sold]]*financials[[#This Row],[Sale Price]]</f>
        <v>55125</v>
      </c>
      <c r="H129" s="2">
        <v>36750</v>
      </c>
      <c r="I129" s="2">
        <v>13413.75</v>
      </c>
      <c r="J129" s="5" t="s">
        <v>24</v>
      </c>
      <c r="K129" s="6">
        <v>2024</v>
      </c>
    </row>
    <row r="130" spans="1:11" ht="29.15" x14ac:dyDescent="0.4">
      <c r="A130" s="1" t="s">
        <v>32</v>
      </c>
      <c r="B130" s="1" t="s">
        <v>8</v>
      </c>
      <c r="C130" s="5" t="s">
        <v>35</v>
      </c>
      <c r="D130" s="7" t="s">
        <v>51</v>
      </c>
      <c r="E130" s="1">
        <v>1094</v>
      </c>
      <c r="F130" s="2">
        <v>300</v>
      </c>
      <c r="G130" s="2">
        <f>financials[[#This Row],[Units Sold]]*financials[[#This Row],[Sale Price]]</f>
        <v>328200</v>
      </c>
      <c r="H130" s="2">
        <v>273500</v>
      </c>
      <c r="I130" s="2">
        <v>25162</v>
      </c>
      <c r="J130" s="5" t="s">
        <v>12</v>
      </c>
      <c r="K130" s="6">
        <v>2024</v>
      </c>
    </row>
    <row r="131" spans="1:11" x14ac:dyDescent="0.4">
      <c r="A131" s="1" t="s">
        <v>28</v>
      </c>
      <c r="B131" s="1" t="s">
        <v>10</v>
      </c>
      <c r="C131" s="5" t="s">
        <v>26</v>
      </c>
      <c r="D131" s="7" t="s">
        <v>55</v>
      </c>
      <c r="E131" s="1">
        <v>1580</v>
      </c>
      <c r="F131" s="2">
        <v>12</v>
      </c>
      <c r="G131" s="2">
        <f>financials[[#This Row],[Units Sold]]*financials[[#This Row],[Sale Price]]</f>
        <v>18960</v>
      </c>
      <c r="H131" s="2">
        <v>4740</v>
      </c>
      <c r="I131" s="2">
        <v>12513.599999999999</v>
      </c>
      <c r="J131" s="5" t="s">
        <v>18</v>
      </c>
      <c r="K131" s="6">
        <v>2024</v>
      </c>
    </row>
    <row r="132" spans="1:11" ht="29.15" x14ac:dyDescent="0.4">
      <c r="A132" s="1" t="s">
        <v>30</v>
      </c>
      <c r="B132" s="1" t="s">
        <v>13</v>
      </c>
      <c r="C132" s="5" t="s">
        <v>26</v>
      </c>
      <c r="D132" s="7" t="s">
        <v>37</v>
      </c>
      <c r="E132" s="1">
        <v>521</v>
      </c>
      <c r="F132" s="2">
        <v>7</v>
      </c>
      <c r="G132" s="2">
        <f>financials[[#This Row],[Units Sold]]*financials[[#This Row],[Sale Price]]</f>
        <v>3647</v>
      </c>
      <c r="H132" s="2">
        <v>2605</v>
      </c>
      <c r="I132" s="2">
        <v>713.77</v>
      </c>
      <c r="J132" s="5" t="s">
        <v>14</v>
      </c>
      <c r="K132" s="6">
        <v>2024</v>
      </c>
    </row>
    <row r="133" spans="1:11" ht="29.15" x14ac:dyDescent="0.4">
      <c r="A133" s="1" t="s">
        <v>30</v>
      </c>
      <c r="B133" s="1" t="s">
        <v>25</v>
      </c>
      <c r="C133" s="5" t="s">
        <v>35</v>
      </c>
      <c r="D133" s="7" t="s">
        <v>38</v>
      </c>
      <c r="E133" s="1">
        <v>973</v>
      </c>
      <c r="F133" s="2">
        <v>20</v>
      </c>
      <c r="G133" s="2">
        <f>financials[[#This Row],[Units Sold]]*financials[[#This Row],[Sale Price]]</f>
        <v>19460</v>
      </c>
      <c r="H133" s="2">
        <v>9730</v>
      </c>
      <c r="I133" s="2">
        <v>7978.5999999999985</v>
      </c>
      <c r="J133" s="5" t="s">
        <v>15</v>
      </c>
      <c r="K133" s="6">
        <v>2024</v>
      </c>
    </row>
    <row r="134" spans="1:11" ht="29.15" x14ac:dyDescent="0.4">
      <c r="A134" s="1" t="s">
        <v>30</v>
      </c>
      <c r="B134" s="1" t="s">
        <v>13</v>
      </c>
      <c r="C134" s="5" t="s">
        <v>35</v>
      </c>
      <c r="D134" s="7" t="s">
        <v>39</v>
      </c>
      <c r="E134" s="1">
        <v>1038</v>
      </c>
      <c r="F134" s="2">
        <v>20</v>
      </c>
      <c r="G134" s="2">
        <f>financials[[#This Row],[Units Sold]]*financials[[#This Row],[Sale Price]]</f>
        <v>20760</v>
      </c>
      <c r="H134" s="2">
        <v>10380</v>
      </c>
      <c r="I134" s="2">
        <v>8511.5999999999985</v>
      </c>
      <c r="J134" s="5" t="s">
        <v>12</v>
      </c>
      <c r="K134" s="6">
        <v>2024</v>
      </c>
    </row>
    <row r="135" spans="1:11" ht="29.15" x14ac:dyDescent="0.4">
      <c r="A135" s="1" t="s">
        <v>30</v>
      </c>
      <c r="B135" s="1" t="s">
        <v>10</v>
      </c>
      <c r="C135" s="5" t="s">
        <v>35</v>
      </c>
      <c r="D135" s="7" t="s">
        <v>40</v>
      </c>
      <c r="E135" s="1">
        <v>360</v>
      </c>
      <c r="F135" s="2">
        <v>7</v>
      </c>
      <c r="G135" s="2">
        <f>financials[[#This Row],[Units Sold]]*financials[[#This Row],[Sale Price]]</f>
        <v>2520</v>
      </c>
      <c r="H135" s="2">
        <v>1800</v>
      </c>
      <c r="I135" s="2">
        <v>493.19999999999982</v>
      </c>
      <c r="J135" s="5" t="s">
        <v>19</v>
      </c>
      <c r="K135" s="6">
        <v>2024</v>
      </c>
    </row>
    <row r="136" spans="1:11" ht="29.15" x14ac:dyDescent="0.4">
      <c r="A136" s="1" t="s">
        <v>28</v>
      </c>
      <c r="B136" s="1" t="s">
        <v>11</v>
      </c>
      <c r="C136" s="5" t="s">
        <v>36</v>
      </c>
      <c r="D136" s="7" t="s">
        <v>41</v>
      </c>
      <c r="E136" s="1">
        <v>1967</v>
      </c>
      <c r="F136" s="2">
        <v>12</v>
      </c>
      <c r="G136" s="2">
        <f>financials[[#This Row],[Units Sold]]*financials[[#This Row],[Sale Price]]</f>
        <v>23604</v>
      </c>
      <c r="H136" s="2">
        <v>5901</v>
      </c>
      <c r="I136" s="2">
        <v>15578.64</v>
      </c>
      <c r="J136" s="5" t="s">
        <v>15</v>
      </c>
      <c r="K136" s="6">
        <v>2024</v>
      </c>
    </row>
    <row r="137" spans="1:11" ht="29.15" x14ac:dyDescent="0.4">
      <c r="A137" s="1" t="s">
        <v>31</v>
      </c>
      <c r="B137" s="1" t="s">
        <v>13</v>
      </c>
      <c r="C137" s="5" t="s">
        <v>36</v>
      </c>
      <c r="D137" s="7" t="s">
        <v>42</v>
      </c>
      <c r="E137" s="1">
        <v>2628</v>
      </c>
      <c r="F137" s="2">
        <v>15</v>
      </c>
      <c r="G137" s="2">
        <f>financials[[#This Row],[Units Sold]]*financials[[#This Row],[Sale Price]]</f>
        <v>39420</v>
      </c>
      <c r="H137" s="2">
        <v>26280</v>
      </c>
      <c r="I137" s="2">
        <v>9592.1999999999971</v>
      </c>
      <c r="J137" s="5" t="s">
        <v>24</v>
      </c>
      <c r="K137" s="6">
        <v>2024</v>
      </c>
    </row>
    <row r="138" spans="1:11" ht="29.15" x14ac:dyDescent="0.4">
      <c r="A138" s="1" t="s">
        <v>28</v>
      </c>
      <c r="B138" s="1" t="s">
        <v>11</v>
      </c>
      <c r="C138" s="5" t="s">
        <v>36</v>
      </c>
      <c r="D138" s="7" t="s">
        <v>43</v>
      </c>
      <c r="E138" s="1">
        <v>306</v>
      </c>
      <c r="F138" s="2">
        <v>12</v>
      </c>
      <c r="G138" s="2">
        <f>financials[[#This Row],[Units Sold]]*financials[[#This Row],[Sale Price]]</f>
        <v>3672</v>
      </c>
      <c r="H138" s="2">
        <v>918</v>
      </c>
      <c r="I138" s="2">
        <v>2423.52</v>
      </c>
      <c r="J138" s="5" t="s">
        <v>14</v>
      </c>
      <c r="K138" s="6" t="s">
        <v>20</v>
      </c>
    </row>
    <row r="139" spans="1:11" ht="29.15" x14ac:dyDescent="0.4">
      <c r="A139" s="1" t="s">
        <v>28</v>
      </c>
      <c r="B139" s="1" t="s">
        <v>25</v>
      </c>
      <c r="C139" s="5" t="s">
        <v>26</v>
      </c>
      <c r="D139" s="7" t="s">
        <v>44</v>
      </c>
      <c r="E139" s="1">
        <v>386</v>
      </c>
      <c r="F139" s="2">
        <v>12</v>
      </c>
      <c r="G139" s="2">
        <f>financials[[#This Row],[Units Sold]]*financials[[#This Row],[Sale Price]]</f>
        <v>4632</v>
      </c>
      <c r="H139" s="2">
        <v>1158</v>
      </c>
      <c r="I139" s="2">
        <v>3010.8</v>
      </c>
      <c r="J139" s="5" t="s">
        <v>19</v>
      </c>
      <c r="K139" s="6" t="s">
        <v>20</v>
      </c>
    </row>
    <row r="140" spans="1:11" ht="29.15" x14ac:dyDescent="0.4">
      <c r="A140" s="1" t="s">
        <v>28</v>
      </c>
      <c r="B140" s="1" t="s">
        <v>25</v>
      </c>
      <c r="C140" s="5" t="s">
        <v>35</v>
      </c>
      <c r="D140" s="7" t="s">
        <v>45</v>
      </c>
      <c r="E140" s="1">
        <v>386</v>
      </c>
      <c r="F140" s="2">
        <v>12</v>
      </c>
      <c r="G140" s="2">
        <f>financials[[#This Row],[Units Sold]]*financials[[#This Row],[Sale Price]]</f>
        <v>4632</v>
      </c>
      <c r="H140" s="2">
        <v>1158</v>
      </c>
      <c r="I140" s="2">
        <v>3010.8</v>
      </c>
      <c r="J140" s="5" t="s">
        <v>19</v>
      </c>
      <c r="K140" s="6" t="s">
        <v>20</v>
      </c>
    </row>
    <row r="141" spans="1:11" x14ac:dyDescent="0.4">
      <c r="A141" s="1" t="s">
        <v>29</v>
      </c>
      <c r="B141" s="1" t="s">
        <v>11</v>
      </c>
      <c r="C141" s="5" t="s">
        <v>26</v>
      </c>
      <c r="D141" s="7" t="s">
        <v>46</v>
      </c>
      <c r="E141" s="1">
        <v>1482</v>
      </c>
      <c r="F141" s="2">
        <v>125</v>
      </c>
      <c r="G141" s="2">
        <f>financials[[#This Row],[Units Sold]]*financials[[#This Row],[Sale Price]]</f>
        <v>185250</v>
      </c>
      <c r="H141" s="2">
        <v>177840</v>
      </c>
      <c r="I141" s="2">
        <v>-11115</v>
      </c>
      <c r="J141" s="5" t="s">
        <v>14</v>
      </c>
      <c r="K141" s="6" t="s">
        <v>20</v>
      </c>
    </row>
    <row r="142" spans="1:11" x14ac:dyDescent="0.4">
      <c r="A142" s="1" t="s">
        <v>31</v>
      </c>
      <c r="B142" s="1" t="s">
        <v>11</v>
      </c>
      <c r="C142" s="5" t="s">
        <v>27</v>
      </c>
      <c r="D142" s="7" t="s">
        <v>47</v>
      </c>
      <c r="E142" s="1">
        <v>2072</v>
      </c>
      <c r="F142" s="2">
        <v>15</v>
      </c>
      <c r="G142" s="2">
        <f>financials[[#This Row],[Units Sold]]*financials[[#This Row],[Sale Price]]</f>
        <v>31080</v>
      </c>
      <c r="H142" s="2">
        <v>20720</v>
      </c>
      <c r="I142" s="2">
        <v>7252</v>
      </c>
      <c r="J142" s="5" t="s">
        <v>14</v>
      </c>
      <c r="K142" s="6">
        <v>2024</v>
      </c>
    </row>
    <row r="143" spans="1:11" x14ac:dyDescent="0.4">
      <c r="A143" s="1" t="s">
        <v>31</v>
      </c>
      <c r="B143" s="1" t="s">
        <v>25</v>
      </c>
      <c r="C143" s="5" t="s">
        <v>36</v>
      </c>
      <c r="D143" s="7" t="s">
        <v>48</v>
      </c>
      <c r="E143" s="1">
        <v>790</v>
      </c>
      <c r="F143" s="2">
        <v>15</v>
      </c>
      <c r="G143" s="2">
        <f>financials[[#This Row],[Units Sold]]*financials[[#This Row],[Sale Price]]</f>
        <v>11850</v>
      </c>
      <c r="H143" s="2">
        <v>7900</v>
      </c>
      <c r="I143" s="2">
        <v>2765</v>
      </c>
      <c r="J143" s="5" t="s">
        <v>23</v>
      </c>
      <c r="K143" s="6">
        <v>2024</v>
      </c>
    </row>
    <row r="144" spans="1:11" x14ac:dyDescent="0.4">
      <c r="A144" s="1" t="s">
        <v>30</v>
      </c>
      <c r="B144" s="1" t="s">
        <v>11</v>
      </c>
      <c r="C144" s="5" t="s">
        <v>36</v>
      </c>
      <c r="D144" s="7" t="s">
        <v>49</v>
      </c>
      <c r="E144" s="1">
        <v>639</v>
      </c>
      <c r="F144" s="2">
        <v>350</v>
      </c>
      <c r="G144" s="2">
        <f>financials[[#This Row],[Units Sold]]*financials[[#This Row],[Sale Price]]</f>
        <v>223650</v>
      </c>
      <c r="H144" s="2">
        <v>166140</v>
      </c>
      <c r="I144" s="2">
        <v>35145</v>
      </c>
      <c r="J144" s="5" t="s">
        <v>16</v>
      </c>
      <c r="K144" s="6">
        <v>2024</v>
      </c>
    </row>
    <row r="145" spans="1:11" x14ac:dyDescent="0.4">
      <c r="A145" s="1" t="s">
        <v>29</v>
      </c>
      <c r="B145" s="1" t="s">
        <v>25</v>
      </c>
      <c r="C145" s="5" t="s">
        <v>36</v>
      </c>
      <c r="D145" s="7" t="s">
        <v>50</v>
      </c>
      <c r="E145" s="1">
        <v>1596</v>
      </c>
      <c r="F145" s="2">
        <v>125</v>
      </c>
      <c r="G145" s="2">
        <f>financials[[#This Row],[Units Sold]]*financials[[#This Row],[Sale Price]]</f>
        <v>199500</v>
      </c>
      <c r="H145" s="2">
        <v>191520</v>
      </c>
      <c r="I145" s="2">
        <v>-11970</v>
      </c>
      <c r="J145" s="5" t="s">
        <v>18</v>
      </c>
      <c r="K145" s="6">
        <v>2024</v>
      </c>
    </row>
    <row r="146" spans="1:11" ht="29.15" x14ac:dyDescent="0.4">
      <c r="A146" s="1" t="s">
        <v>30</v>
      </c>
      <c r="B146" s="1" t="s">
        <v>10</v>
      </c>
      <c r="C146" s="5" t="s">
        <v>36</v>
      </c>
      <c r="D146" s="7" t="s">
        <v>51</v>
      </c>
      <c r="E146" s="1">
        <v>241</v>
      </c>
      <c r="F146" s="2">
        <v>20</v>
      </c>
      <c r="G146" s="2">
        <f>financials[[#This Row],[Units Sold]]*financials[[#This Row],[Sale Price]]</f>
        <v>4820</v>
      </c>
      <c r="H146" s="2">
        <v>2410</v>
      </c>
      <c r="I146" s="2">
        <v>1928</v>
      </c>
      <c r="J146" s="5" t="s">
        <v>19</v>
      </c>
      <c r="K146" s="6">
        <v>2024</v>
      </c>
    </row>
    <row r="147" spans="1:11" x14ac:dyDescent="0.4">
      <c r="A147" s="1" t="s">
        <v>28</v>
      </c>
      <c r="B147" s="1" t="s">
        <v>11</v>
      </c>
      <c r="C147" s="5" t="s">
        <v>26</v>
      </c>
      <c r="D147" s="7" t="s">
        <v>52</v>
      </c>
      <c r="E147" s="1">
        <v>1198</v>
      </c>
      <c r="F147" s="2">
        <v>12</v>
      </c>
      <c r="G147" s="2">
        <f>financials[[#This Row],[Units Sold]]*financials[[#This Row],[Sale Price]]</f>
        <v>14376</v>
      </c>
      <c r="H147" s="2">
        <v>3594</v>
      </c>
      <c r="I147" s="2">
        <v>9200.64</v>
      </c>
      <c r="J147" s="5" t="s">
        <v>19</v>
      </c>
      <c r="K147" s="6" t="s">
        <v>20</v>
      </c>
    </row>
    <row r="148" spans="1:11" x14ac:dyDescent="0.4">
      <c r="A148" s="1" t="s">
        <v>28</v>
      </c>
      <c r="B148" s="1" t="s">
        <v>11</v>
      </c>
      <c r="C148" s="5" t="s">
        <v>35</v>
      </c>
      <c r="D148" s="7" t="s">
        <v>53</v>
      </c>
      <c r="E148" s="1">
        <v>1198</v>
      </c>
      <c r="F148" s="2">
        <v>12</v>
      </c>
      <c r="G148" s="2">
        <f>financials[[#This Row],[Units Sold]]*financials[[#This Row],[Sale Price]]</f>
        <v>14376</v>
      </c>
      <c r="H148" s="2">
        <v>3594</v>
      </c>
      <c r="I148" s="2">
        <v>9200.64</v>
      </c>
      <c r="J148" s="5" t="s">
        <v>19</v>
      </c>
      <c r="K148" s="6" t="s">
        <v>20</v>
      </c>
    </row>
    <row r="149" spans="1:11" x14ac:dyDescent="0.4">
      <c r="A149" s="1" t="s">
        <v>32</v>
      </c>
      <c r="B149" s="1" t="s">
        <v>10</v>
      </c>
      <c r="C149" s="5" t="s">
        <v>26</v>
      </c>
      <c r="D149" s="7" t="s">
        <v>54</v>
      </c>
      <c r="E149" s="1">
        <v>2811</v>
      </c>
      <c r="F149" s="2">
        <v>300</v>
      </c>
      <c r="G149" s="2">
        <f>financials[[#This Row],[Units Sold]]*financials[[#This Row],[Sale Price]]</f>
        <v>843300</v>
      </c>
      <c r="H149" s="2">
        <v>702750</v>
      </c>
      <c r="I149" s="2">
        <v>47787</v>
      </c>
      <c r="J149" s="5" t="s">
        <v>16</v>
      </c>
      <c r="K149" s="6">
        <v>2024</v>
      </c>
    </row>
    <row r="150" spans="1:11" x14ac:dyDescent="0.4">
      <c r="A150" s="1" t="s">
        <v>30</v>
      </c>
      <c r="B150" s="1" t="s">
        <v>10</v>
      </c>
      <c r="C150" s="5" t="s">
        <v>27</v>
      </c>
      <c r="D150" s="7" t="s">
        <v>55</v>
      </c>
      <c r="E150" s="1">
        <v>2992</v>
      </c>
      <c r="F150" s="2">
        <v>20</v>
      </c>
      <c r="G150" s="2">
        <f>financials[[#This Row],[Units Sold]]*financials[[#This Row],[Sale Price]]</f>
        <v>59840</v>
      </c>
      <c r="H150" s="2">
        <v>29920</v>
      </c>
      <c r="I150" s="2">
        <v>23337.599999999999</v>
      </c>
      <c r="J150" s="5" t="s">
        <v>19</v>
      </c>
      <c r="K150" s="6" t="s">
        <v>20</v>
      </c>
    </row>
    <row r="151" spans="1:11" ht="29.15" x14ac:dyDescent="0.4">
      <c r="A151" s="1" t="s">
        <v>31</v>
      </c>
      <c r="B151" s="1" t="s">
        <v>13</v>
      </c>
      <c r="C151" s="5" t="s">
        <v>27</v>
      </c>
      <c r="D151" s="7" t="s">
        <v>37</v>
      </c>
      <c r="E151" s="1">
        <v>2157</v>
      </c>
      <c r="F151" s="2">
        <v>15</v>
      </c>
      <c r="G151" s="2">
        <f>financials[[#This Row],[Units Sold]]*financials[[#This Row],[Sale Price]]</f>
        <v>32355</v>
      </c>
      <c r="H151" s="2">
        <v>21570</v>
      </c>
      <c r="I151" s="2">
        <v>7225.9500000000007</v>
      </c>
      <c r="J151" s="5" t="s">
        <v>14</v>
      </c>
      <c r="K151" s="6">
        <v>2024</v>
      </c>
    </row>
    <row r="152" spans="1:11" ht="29.15" x14ac:dyDescent="0.4">
      <c r="A152" s="1" t="s">
        <v>32</v>
      </c>
      <c r="B152" s="1" t="s">
        <v>8</v>
      </c>
      <c r="C152" s="5" t="s">
        <v>35</v>
      </c>
      <c r="D152" s="7" t="s">
        <v>38</v>
      </c>
      <c r="E152" s="1">
        <v>873</v>
      </c>
      <c r="F152" s="2">
        <v>300</v>
      </c>
      <c r="G152" s="2">
        <f>financials[[#This Row],[Units Sold]]*financials[[#This Row],[Sale Price]]</f>
        <v>261900</v>
      </c>
      <c r="H152" s="2">
        <v>218250</v>
      </c>
      <c r="I152" s="2">
        <v>14841</v>
      </c>
      <c r="J152" s="5" t="s">
        <v>9</v>
      </c>
      <c r="K152" s="6">
        <v>2024</v>
      </c>
    </row>
    <row r="153" spans="1:11" ht="29.15" x14ac:dyDescent="0.4">
      <c r="A153" s="1" t="s">
        <v>30</v>
      </c>
      <c r="B153" s="1" t="s">
        <v>13</v>
      </c>
      <c r="C153" s="5" t="s">
        <v>35</v>
      </c>
      <c r="D153" s="7" t="s">
        <v>39</v>
      </c>
      <c r="E153" s="1">
        <v>1122</v>
      </c>
      <c r="F153" s="2">
        <v>20</v>
      </c>
      <c r="G153" s="2">
        <f>financials[[#This Row],[Units Sold]]*financials[[#This Row],[Sale Price]]</f>
        <v>22440</v>
      </c>
      <c r="H153" s="2">
        <v>11220</v>
      </c>
      <c r="I153" s="2">
        <v>8751.5999999999985</v>
      </c>
      <c r="J153" s="5" t="s">
        <v>15</v>
      </c>
      <c r="K153" s="6">
        <v>2024</v>
      </c>
    </row>
    <row r="154" spans="1:11" ht="29.15" x14ac:dyDescent="0.4">
      <c r="A154" s="1" t="s">
        <v>30</v>
      </c>
      <c r="B154" s="1" t="s">
        <v>8</v>
      </c>
      <c r="C154" s="5" t="s">
        <v>35</v>
      </c>
      <c r="D154" s="7" t="s">
        <v>40</v>
      </c>
      <c r="E154" s="1">
        <v>2104.5</v>
      </c>
      <c r="F154" s="2">
        <v>350</v>
      </c>
      <c r="G154" s="2">
        <f>financials[[#This Row],[Units Sold]]*financials[[#This Row],[Sale Price]]</f>
        <v>736575</v>
      </c>
      <c r="H154" s="2">
        <v>547170</v>
      </c>
      <c r="I154" s="2">
        <v>108381.75</v>
      </c>
      <c r="J154" s="5" t="s">
        <v>16</v>
      </c>
      <c r="K154" s="6">
        <v>2024</v>
      </c>
    </row>
    <row r="155" spans="1:11" ht="29.15" x14ac:dyDescent="0.4">
      <c r="A155" s="1" t="s">
        <v>28</v>
      </c>
      <c r="B155" s="1" t="s">
        <v>8</v>
      </c>
      <c r="C155" s="5" t="s">
        <v>35</v>
      </c>
      <c r="D155" s="7" t="s">
        <v>41</v>
      </c>
      <c r="E155" s="1">
        <v>4026</v>
      </c>
      <c r="F155" s="2">
        <v>12</v>
      </c>
      <c r="G155" s="2">
        <f>financials[[#This Row],[Units Sold]]*financials[[#This Row],[Sale Price]]</f>
        <v>48312</v>
      </c>
      <c r="H155" s="2">
        <v>12078</v>
      </c>
      <c r="I155" s="2">
        <v>30919.68</v>
      </c>
      <c r="J155" s="5" t="s">
        <v>16</v>
      </c>
      <c r="K155" s="6">
        <v>2024</v>
      </c>
    </row>
    <row r="156" spans="1:11" ht="29.15" x14ac:dyDescent="0.4">
      <c r="A156" s="1" t="s">
        <v>28</v>
      </c>
      <c r="B156" s="1" t="s">
        <v>11</v>
      </c>
      <c r="C156" s="5" t="s">
        <v>35</v>
      </c>
      <c r="D156" s="7" t="s">
        <v>42</v>
      </c>
      <c r="E156" s="1">
        <v>2425.5</v>
      </c>
      <c r="F156" s="2">
        <v>12</v>
      </c>
      <c r="G156" s="2">
        <f>financials[[#This Row],[Units Sold]]*financials[[#This Row],[Sale Price]]</f>
        <v>29106</v>
      </c>
      <c r="H156" s="2">
        <v>7276.5</v>
      </c>
      <c r="I156" s="2">
        <v>18627.840000000004</v>
      </c>
      <c r="J156" s="5" t="s">
        <v>16</v>
      </c>
      <c r="K156" s="6">
        <v>2024</v>
      </c>
    </row>
    <row r="157" spans="1:11" ht="29.15" x14ac:dyDescent="0.4">
      <c r="A157" s="1" t="s">
        <v>30</v>
      </c>
      <c r="B157" s="1" t="s">
        <v>8</v>
      </c>
      <c r="C157" s="5" t="s">
        <v>35</v>
      </c>
      <c r="D157" s="7" t="s">
        <v>43</v>
      </c>
      <c r="E157" s="1">
        <v>2394</v>
      </c>
      <c r="F157" s="2">
        <v>20</v>
      </c>
      <c r="G157" s="2">
        <f>financials[[#This Row],[Units Sold]]*financials[[#This Row],[Sale Price]]</f>
        <v>47880</v>
      </c>
      <c r="H157" s="2">
        <v>23940</v>
      </c>
      <c r="I157" s="2">
        <v>18673.199999999997</v>
      </c>
      <c r="J157" s="5" t="s">
        <v>17</v>
      </c>
      <c r="K157" s="6">
        <v>2024</v>
      </c>
    </row>
    <row r="158" spans="1:11" ht="29.15" x14ac:dyDescent="0.4">
      <c r="A158" s="1" t="s">
        <v>31</v>
      </c>
      <c r="B158" s="1" t="s">
        <v>13</v>
      </c>
      <c r="C158" s="5" t="s">
        <v>35</v>
      </c>
      <c r="D158" s="7" t="s">
        <v>44</v>
      </c>
      <c r="E158" s="1">
        <v>1984</v>
      </c>
      <c r="F158" s="2">
        <v>15</v>
      </c>
      <c r="G158" s="2">
        <f>financials[[#This Row],[Units Sold]]*financials[[#This Row],[Sale Price]]</f>
        <v>29760</v>
      </c>
      <c r="H158" s="2">
        <v>19840</v>
      </c>
      <c r="I158" s="2">
        <v>6646.4000000000015</v>
      </c>
      <c r="J158" s="5" t="s">
        <v>17</v>
      </c>
      <c r="K158" s="6">
        <v>2024</v>
      </c>
    </row>
    <row r="159" spans="1:11" ht="29.15" x14ac:dyDescent="0.4">
      <c r="A159" s="1" t="s">
        <v>30</v>
      </c>
      <c r="B159" s="1" t="s">
        <v>10</v>
      </c>
      <c r="C159" s="5" t="s">
        <v>35</v>
      </c>
      <c r="D159" s="7" t="s">
        <v>45</v>
      </c>
      <c r="E159" s="1">
        <v>2992</v>
      </c>
      <c r="F159" s="2">
        <v>20</v>
      </c>
      <c r="G159" s="2">
        <f>financials[[#This Row],[Units Sold]]*financials[[#This Row],[Sale Price]]</f>
        <v>59840</v>
      </c>
      <c r="H159" s="2">
        <v>29920</v>
      </c>
      <c r="I159" s="2">
        <v>23337.599999999999</v>
      </c>
      <c r="J159" s="5" t="s">
        <v>19</v>
      </c>
      <c r="K159" s="6" t="s">
        <v>20</v>
      </c>
    </row>
    <row r="160" spans="1:11" x14ac:dyDescent="0.4">
      <c r="A160" s="1" t="s">
        <v>30</v>
      </c>
      <c r="B160" s="1" t="s">
        <v>8</v>
      </c>
      <c r="C160" s="5" t="s">
        <v>36</v>
      </c>
      <c r="D160" s="7" t="s">
        <v>46</v>
      </c>
      <c r="E160" s="1">
        <v>1808</v>
      </c>
      <c r="F160" s="2">
        <v>7</v>
      </c>
      <c r="G160" s="2">
        <f>financials[[#This Row],[Units Sold]]*financials[[#This Row],[Sale Price]]</f>
        <v>12656</v>
      </c>
      <c r="H160" s="2">
        <v>9040</v>
      </c>
      <c r="I160" s="2">
        <v>2223.84</v>
      </c>
      <c r="J160" s="5" t="s">
        <v>22</v>
      </c>
      <c r="K160" s="6">
        <v>2024</v>
      </c>
    </row>
    <row r="161" spans="1:11" x14ac:dyDescent="0.4">
      <c r="A161" s="1" t="s">
        <v>30</v>
      </c>
      <c r="B161" s="1" t="s">
        <v>13</v>
      </c>
      <c r="C161" s="5" t="s">
        <v>27</v>
      </c>
      <c r="D161" s="7" t="s">
        <v>48</v>
      </c>
      <c r="E161" s="1">
        <v>2420</v>
      </c>
      <c r="F161" s="2">
        <v>7</v>
      </c>
      <c r="G161" s="2">
        <f>financials[[#This Row],[Units Sold]]*financials[[#This Row],[Sale Price]]</f>
        <v>16940</v>
      </c>
      <c r="H161" s="2">
        <v>12100</v>
      </c>
      <c r="I161" s="2">
        <v>2807.2000000000007</v>
      </c>
      <c r="J161" s="5" t="s">
        <v>18</v>
      </c>
      <c r="K161" s="6">
        <v>2024</v>
      </c>
    </row>
    <row r="162" spans="1:11" x14ac:dyDescent="0.4">
      <c r="A162" s="1" t="s">
        <v>30</v>
      </c>
      <c r="B162" s="1" t="s">
        <v>8</v>
      </c>
      <c r="C162" s="5" t="s">
        <v>27</v>
      </c>
      <c r="D162" s="7" t="s">
        <v>49</v>
      </c>
      <c r="E162" s="1">
        <v>2734</v>
      </c>
      <c r="F162" s="2">
        <v>7</v>
      </c>
      <c r="G162" s="2">
        <f>financials[[#This Row],[Units Sold]]*financials[[#This Row],[Sale Price]]</f>
        <v>19138</v>
      </c>
      <c r="H162" s="2">
        <v>13670</v>
      </c>
      <c r="I162" s="2">
        <v>3171.4399999999987</v>
      </c>
      <c r="J162" s="5" t="s">
        <v>19</v>
      </c>
      <c r="K162" s="6">
        <v>2024</v>
      </c>
    </row>
    <row r="163" spans="1:11" x14ac:dyDescent="0.4">
      <c r="A163" s="1" t="s">
        <v>30</v>
      </c>
      <c r="B163" s="1" t="s">
        <v>13</v>
      </c>
      <c r="C163" s="5" t="s">
        <v>27</v>
      </c>
      <c r="D163" s="7" t="s">
        <v>50</v>
      </c>
      <c r="E163" s="1">
        <v>1715</v>
      </c>
      <c r="F163" s="2">
        <v>20</v>
      </c>
      <c r="G163" s="2">
        <f>financials[[#This Row],[Units Sold]]*financials[[#This Row],[Sale Price]]</f>
        <v>34300</v>
      </c>
      <c r="H163" s="2">
        <v>17150</v>
      </c>
      <c r="I163" s="2">
        <v>13034</v>
      </c>
      <c r="J163" s="5" t="s">
        <v>19</v>
      </c>
      <c r="K163" s="6" t="s">
        <v>20</v>
      </c>
    </row>
    <row r="164" spans="1:11" ht="29.15" x14ac:dyDescent="0.4">
      <c r="A164" s="1" t="s">
        <v>32</v>
      </c>
      <c r="B164" s="1" t="s">
        <v>11</v>
      </c>
      <c r="C164" s="5" t="s">
        <v>27</v>
      </c>
      <c r="D164" s="7" t="s">
        <v>51</v>
      </c>
      <c r="E164" s="1">
        <v>1186</v>
      </c>
      <c r="F164" s="2">
        <v>300</v>
      </c>
      <c r="G164" s="2">
        <f>financials[[#This Row],[Units Sold]]*financials[[#This Row],[Sale Price]]</f>
        <v>355800</v>
      </c>
      <c r="H164" s="2">
        <v>296500</v>
      </c>
      <c r="I164" s="2">
        <v>16604</v>
      </c>
      <c r="J164" s="5" t="s">
        <v>14</v>
      </c>
      <c r="K164" s="6" t="s">
        <v>20</v>
      </c>
    </row>
    <row r="165" spans="1:11" x14ac:dyDescent="0.4">
      <c r="A165" s="1" t="s">
        <v>29</v>
      </c>
      <c r="B165" s="1" t="s">
        <v>13</v>
      </c>
      <c r="C165" s="5" t="s">
        <v>35</v>
      </c>
      <c r="D165" s="7" t="s">
        <v>52</v>
      </c>
      <c r="E165" s="1">
        <v>2156</v>
      </c>
      <c r="F165" s="2">
        <v>125</v>
      </c>
      <c r="G165" s="2">
        <f>financials[[#This Row],[Units Sold]]*financials[[#This Row],[Sale Price]]</f>
        <v>269500</v>
      </c>
      <c r="H165" s="2">
        <v>258720</v>
      </c>
      <c r="I165" s="2">
        <v>-21560</v>
      </c>
      <c r="J165" s="5" t="s">
        <v>19</v>
      </c>
      <c r="K165" s="6">
        <v>2024</v>
      </c>
    </row>
    <row r="166" spans="1:11" x14ac:dyDescent="0.4">
      <c r="A166" s="1" t="s">
        <v>30</v>
      </c>
      <c r="B166" s="1" t="s">
        <v>13</v>
      </c>
      <c r="C166" s="5" t="s">
        <v>35</v>
      </c>
      <c r="D166" s="7" t="s">
        <v>53</v>
      </c>
      <c r="E166" s="1">
        <v>1715</v>
      </c>
      <c r="F166" s="2">
        <v>20</v>
      </c>
      <c r="G166" s="2">
        <f>financials[[#This Row],[Units Sold]]*financials[[#This Row],[Sale Price]]</f>
        <v>34300</v>
      </c>
      <c r="H166" s="2">
        <v>17150</v>
      </c>
      <c r="I166" s="2">
        <v>13034</v>
      </c>
      <c r="J166" s="5" t="s">
        <v>19</v>
      </c>
      <c r="K166" s="6" t="s">
        <v>20</v>
      </c>
    </row>
    <row r="167" spans="1:11" x14ac:dyDescent="0.4">
      <c r="A167" s="1" t="s">
        <v>31</v>
      </c>
      <c r="B167" s="1" t="s">
        <v>13</v>
      </c>
      <c r="C167" s="5" t="s">
        <v>35</v>
      </c>
      <c r="D167" s="7" t="s">
        <v>54</v>
      </c>
      <c r="E167" s="1">
        <v>380</v>
      </c>
      <c r="F167" s="2">
        <v>15</v>
      </c>
      <c r="G167" s="2">
        <f>financials[[#This Row],[Units Sold]]*financials[[#This Row],[Sale Price]]</f>
        <v>5700</v>
      </c>
      <c r="H167" s="2">
        <v>3800</v>
      </c>
      <c r="I167" s="2">
        <v>1216</v>
      </c>
      <c r="J167" s="5" t="s">
        <v>14</v>
      </c>
      <c r="K167" s="6" t="s">
        <v>20</v>
      </c>
    </row>
    <row r="168" spans="1:11" x14ac:dyDescent="0.4">
      <c r="A168" s="1" t="s">
        <v>31</v>
      </c>
      <c r="B168" s="1" t="s">
        <v>25</v>
      </c>
      <c r="C168" s="5" t="s">
        <v>36</v>
      </c>
      <c r="D168" s="7" t="s">
        <v>55</v>
      </c>
      <c r="E168" s="1">
        <v>2548</v>
      </c>
      <c r="F168" s="2">
        <v>15</v>
      </c>
      <c r="G168" s="2">
        <f>financials[[#This Row],[Units Sold]]*financials[[#This Row],[Sale Price]]</f>
        <v>38220</v>
      </c>
      <c r="H168" s="2">
        <v>25480</v>
      </c>
      <c r="I168" s="2">
        <v>8153.5999999999985</v>
      </c>
      <c r="J168" s="5" t="s">
        <v>22</v>
      </c>
      <c r="K168" s="6" t="s">
        <v>20</v>
      </c>
    </row>
    <row r="169" spans="1:11" ht="29.15" x14ac:dyDescent="0.4">
      <c r="A169" s="1" t="s">
        <v>30</v>
      </c>
      <c r="B169" s="1" t="s">
        <v>11</v>
      </c>
      <c r="C169" s="5" t="s">
        <v>26</v>
      </c>
      <c r="D169" s="7" t="s">
        <v>37</v>
      </c>
      <c r="E169" s="1">
        <v>2521.5</v>
      </c>
      <c r="F169" s="2">
        <v>20</v>
      </c>
      <c r="G169" s="2">
        <f>financials[[#This Row],[Units Sold]]*financials[[#This Row],[Sale Price]]</f>
        <v>50430</v>
      </c>
      <c r="H169" s="2">
        <v>25215</v>
      </c>
      <c r="I169" s="2">
        <v>19163.399999999998</v>
      </c>
      <c r="J169" s="5" t="s">
        <v>9</v>
      </c>
      <c r="K169" s="6">
        <v>2024</v>
      </c>
    </row>
    <row r="170" spans="1:11" ht="29.15" x14ac:dyDescent="0.4">
      <c r="A170" s="1" t="s">
        <v>28</v>
      </c>
      <c r="B170" s="1" t="s">
        <v>13</v>
      </c>
      <c r="C170" s="5" t="s">
        <v>27</v>
      </c>
      <c r="D170" s="7" t="s">
        <v>38</v>
      </c>
      <c r="E170" s="1">
        <v>2661</v>
      </c>
      <c r="F170" s="2">
        <v>12</v>
      </c>
      <c r="G170" s="2">
        <f>financials[[#This Row],[Units Sold]]*financials[[#This Row],[Sale Price]]</f>
        <v>31932</v>
      </c>
      <c r="H170" s="2">
        <v>7983</v>
      </c>
      <c r="I170" s="2">
        <v>20117.16</v>
      </c>
      <c r="J170" s="5" t="s">
        <v>23</v>
      </c>
      <c r="K170" s="6">
        <v>2024</v>
      </c>
    </row>
    <row r="171" spans="1:11" ht="29.15" x14ac:dyDescent="0.4">
      <c r="A171" s="1" t="s">
        <v>30</v>
      </c>
      <c r="B171" s="1" t="s">
        <v>10</v>
      </c>
      <c r="C171" s="5" t="s">
        <v>35</v>
      </c>
      <c r="D171" s="7" t="s">
        <v>39</v>
      </c>
      <c r="E171" s="1">
        <v>1531</v>
      </c>
      <c r="F171" s="2">
        <v>20</v>
      </c>
      <c r="G171" s="2">
        <f>financials[[#This Row],[Units Sold]]*financials[[#This Row],[Sale Price]]</f>
        <v>30620</v>
      </c>
      <c r="H171" s="2">
        <v>15310</v>
      </c>
      <c r="I171" s="2">
        <v>11635.599999999999</v>
      </c>
      <c r="J171" s="5" t="s">
        <v>14</v>
      </c>
      <c r="K171" s="6">
        <v>2024</v>
      </c>
    </row>
    <row r="172" spans="1:11" ht="29.15" x14ac:dyDescent="0.4">
      <c r="A172" s="1" t="s">
        <v>28</v>
      </c>
      <c r="B172" s="1" t="s">
        <v>8</v>
      </c>
      <c r="C172" s="5" t="s">
        <v>36</v>
      </c>
      <c r="D172" s="7" t="s">
        <v>40</v>
      </c>
      <c r="E172" s="1">
        <v>2761</v>
      </c>
      <c r="F172" s="2">
        <v>12</v>
      </c>
      <c r="G172" s="2">
        <f>financials[[#This Row],[Units Sold]]*financials[[#This Row],[Sale Price]]</f>
        <v>33132</v>
      </c>
      <c r="H172" s="2">
        <v>8283</v>
      </c>
      <c r="I172" s="2">
        <v>20873.16</v>
      </c>
      <c r="J172" s="5" t="s">
        <v>18</v>
      </c>
      <c r="K172" s="6" t="s">
        <v>20</v>
      </c>
    </row>
    <row r="173" spans="1:11" ht="29.15" x14ac:dyDescent="0.4">
      <c r="A173" s="1" t="s">
        <v>31</v>
      </c>
      <c r="B173" s="1" t="s">
        <v>25</v>
      </c>
      <c r="C173" s="5" t="s">
        <v>26</v>
      </c>
      <c r="D173" s="7" t="s">
        <v>41</v>
      </c>
      <c r="E173" s="1">
        <v>2567</v>
      </c>
      <c r="F173" s="2">
        <v>15</v>
      </c>
      <c r="G173" s="2">
        <f>financials[[#This Row],[Units Sold]]*financials[[#This Row],[Sale Price]]</f>
        <v>38505</v>
      </c>
      <c r="H173" s="2">
        <v>25670</v>
      </c>
      <c r="I173" s="2">
        <v>7829.3499999999985</v>
      </c>
      <c r="J173" s="5" t="s">
        <v>12</v>
      </c>
      <c r="K173" s="6">
        <v>2024</v>
      </c>
    </row>
    <row r="174" spans="1:11" ht="29.15" x14ac:dyDescent="0.4">
      <c r="A174" s="1" t="s">
        <v>30</v>
      </c>
      <c r="B174" s="1" t="s">
        <v>8</v>
      </c>
      <c r="C174" s="5" t="s">
        <v>26</v>
      </c>
      <c r="D174" s="7" t="s">
        <v>42</v>
      </c>
      <c r="E174" s="1">
        <v>923</v>
      </c>
      <c r="F174" s="2">
        <v>350</v>
      </c>
      <c r="G174" s="2">
        <f>financials[[#This Row],[Units Sold]]*financials[[#This Row],[Sale Price]]</f>
        <v>323050</v>
      </c>
      <c r="H174" s="2">
        <v>239980</v>
      </c>
      <c r="I174" s="2">
        <v>41073.5</v>
      </c>
      <c r="J174" s="5" t="s">
        <v>15</v>
      </c>
      <c r="K174" s="6">
        <v>2024</v>
      </c>
    </row>
    <row r="175" spans="1:11" ht="29.15" x14ac:dyDescent="0.4">
      <c r="A175" s="1" t="s">
        <v>30</v>
      </c>
      <c r="B175" s="1" t="s">
        <v>11</v>
      </c>
      <c r="C175" s="5" t="s">
        <v>26</v>
      </c>
      <c r="D175" s="7" t="s">
        <v>43</v>
      </c>
      <c r="E175" s="1">
        <v>1790</v>
      </c>
      <c r="F175" s="2">
        <v>350</v>
      </c>
      <c r="G175" s="2">
        <f>financials[[#This Row],[Units Sold]]*financials[[#This Row],[Sale Price]]</f>
        <v>626500</v>
      </c>
      <c r="H175" s="2">
        <v>465400</v>
      </c>
      <c r="I175" s="2">
        <v>79655</v>
      </c>
      <c r="J175" s="5" t="s">
        <v>15</v>
      </c>
      <c r="K175" s="6">
        <v>2024</v>
      </c>
    </row>
    <row r="176" spans="1:11" ht="29.15" x14ac:dyDescent="0.4">
      <c r="A176" s="1" t="s">
        <v>30</v>
      </c>
      <c r="B176" s="1" t="s">
        <v>10</v>
      </c>
      <c r="C176" s="5" t="s">
        <v>26</v>
      </c>
      <c r="D176" s="7" t="s">
        <v>44</v>
      </c>
      <c r="E176" s="1">
        <v>442</v>
      </c>
      <c r="F176" s="2">
        <v>20</v>
      </c>
      <c r="G176" s="2">
        <f>financials[[#This Row],[Units Sold]]*financials[[#This Row],[Sale Price]]</f>
        <v>8840</v>
      </c>
      <c r="H176" s="2">
        <v>4420</v>
      </c>
      <c r="I176" s="2">
        <v>3270.8</v>
      </c>
      <c r="J176" s="5" t="s">
        <v>18</v>
      </c>
      <c r="K176" s="6" t="s">
        <v>20</v>
      </c>
    </row>
    <row r="177" spans="1:11" ht="29.15" x14ac:dyDescent="0.4">
      <c r="A177" s="1" t="s">
        <v>30</v>
      </c>
      <c r="B177" s="1" t="s">
        <v>25</v>
      </c>
      <c r="C177" s="5" t="s">
        <v>27</v>
      </c>
      <c r="D177" s="7" t="s">
        <v>45</v>
      </c>
      <c r="E177" s="1">
        <v>1298</v>
      </c>
      <c r="F177" s="2">
        <v>7</v>
      </c>
      <c r="G177" s="2">
        <f>financials[[#This Row],[Units Sold]]*financials[[#This Row],[Sale Price]]</f>
        <v>9086</v>
      </c>
      <c r="H177" s="2">
        <v>6490</v>
      </c>
      <c r="I177" s="2">
        <v>1414.8199999999997</v>
      </c>
      <c r="J177" s="5" t="s">
        <v>21</v>
      </c>
      <c r="K177" s="6">
        <v>2024</v>
      </c>
    </row>
    <row r="178" spans="1:11" x14ac:dyDescent="0.4">
      <c r="A178" s="1" t="s">
        <v>30</v>
      </c>
      <c r="B178" s="1" t="s">
        <v>13</v>
      </c>
      <c r="C178" s="5" t="s">
        <v>27</v>
      </c>
      <c r="D178" s="7" t="s">
        <v>46</v>
      </c>
      <c r="E178" s="1">
        <v>2255</v>
      </c>
      <c r="F178" s="2">
        <v>20</v>
      </c>
      <c r="G178" s="2">
        <f>financials[[#This Row],[Units Sold]]*financials[[#This Row],[Sale Price]]</f>
        <v>45100</v>
      </c>
      <c r="H178" s="2">
        <v>22550</v>
      </c>
      <c r="I178" s="2">
        <v>16687</v>
      </c>
      <c r="J178" s="5" t="s">
        <v>16</v>
      </c>
      <c r="K178" s="6">
        <v>2024</v>
      </c>
    </row>
    <row r="179" spans="1:11" x14ac:dyDescent="0.4">
      <c r="A179" s="1" t="s">
        <v>31</v>
      </c>
      <c r="B179" s="1" t="s">
        <v>8</v>
      </c>
      <c r="C179" s="5" t="s">
        <v>35</v>
      </c>
      <c r="D179" s="7" t="s">
        <v>48</v>
      </c>
      <c r="E179" s="1">
        <v>1565</v>
      </c>
      <c r="F179" s="2">
        <v>15</v>
      </c>
      <c r="G179" s="2">
        <f>financials[[#This Row],[Units Sold]]*financials[[#This Row],[Sale Price]]</f>
        <v>23475</v>
      </c>
      <c r="H179" s="2">
        <v>15650</v>
      </c>
      <c r="I179" s="2">
        <v>4773.25</v>
      </c>
      <c r="J179" s="5" t="s">
        <v>19</v>
      </c>
      <c r="K179" s="6">
        <v>2024</v>
      </c>
    </row>
    <row r="180" spans="1:11" x14ac:dyDescent="0.4">
      <c r="A180" s="1" t="s">
        <v>30</v>
      </c>
      <c r="B180" s="1" t="s">
        <v>8</v>
      </c>
      <c r="C180" s="5" t="s">
        <v>35</v>
      </c>
      <c r="D180" s="7" t="s">
        <v>49</v>
      </c>
      <c r="E180" s="1">
        <v>1249</v>
      </c>
      <c r="F180" s="2">
        <v>20</v>
      </c>
      <c r="G180" s="2">
        <f>financials[[#This Row],[Units Sold]]*financials[[#This Row],[Sale Price]]</f>
        <v>24980</v>
      </c>
      <c r="H180" s="2">
        <v>12490</v>
      </c>
      <c r="I180" s="2">
        <v>9242.5999999999985</v>
      </c>
      <c r="J180" s="5" t="s">
        <v>19</v>
      </c>
      <c r="K180" s="6">
        <v>2024</v>
      </c>
    </row>
    <row r="181" spans="1:11" x14ac:dyDescent="0.4">
      <c r="A181" s="1" t="s">
        <v>30</v>
      </c>
      <c r="B181" s="1" t="s">
        <v>10</v>
      </c>
      <c r="C181" s="5" t="s">
        <v>35</v>
      </c>
      <c r="D181" s="7" t="s">
        <v>50</v>
      </c>
      <c r="E181" s="1">
        <v>357</v>
      </c>
      <c r="F181" s="2">
        <v>350</v>
      </c>
      <c r="G181" s="2">
        <f>financials[[#This Row],[Units Sold]]*financials[[#This Row],[Sale Price]]</f>
        <v>124950</v>
      </c>
      <c r="H181" s="2">
        <v>92820</v>
      </c>
      <c r="I181" s="2">
        <v>15886.5</v>
      </c>
      <c r="J181" s="5" t="s">
        <v>22</v>
      </c>
      <c r="K181" s="6">
        <v>2024</v>
      </c>
    </row>
    <row r="182" spans="1:11" ht="29.15" x14ac:dyDescent="0.4">
      <c r="A182" s="1" t="s">
        <v>28</v>
      </c>
      <c r="B182" s="1" t="s">
        <v>10</v>
      </c>
      <c r="C182" s="5" t="s">
        <v>35</v>
      </c>
      <c r="D182" s="7" t="s">
        <v>51</v>
      </c>
      <c r="E182" s="1">
        <v>1013</v>
      </c>
      <c r="F182" s="2">
        <v>12</v>
      </c>
      <c r="G182" s="2">
        <f>financials[[#This Row],[Units Sold]]*financials[[#This Row],[Sale Price]]</f>
        <v>12156</v>
      </c>
      <c r="H182" s="2">
        <v>3039</v>
      </c>
      <c r="I182" s="2">
        <v>7536.7199999999993</v>
      </c>
      <c r="J182" s="5" t="s">
        <v>14</v>
      </c>
      <c r="K182" s="6">
        <v>2024</v>
      </c>
    </row>
    <row r="183" spans="1:11" x14ac:dyDescent="0.4">
      <c r="A183" s="1" t="s">
        <v>30</v>
      </c>
      <c r="B183" s="1" t="s">
        <v>11</v>
      </c>
      <c r="C183" s="5" t="s">
        <v>36</v>
      </c>
      <c r="D183" s="7" t="s">
        <v>52</v>
      </c>
      <c r="E183" s="1">
        <v>1190</v>
      </c>
      <c r="F183" s="2">
        <v>7</v>
      </c>
      <c r="G183" s="2">
        <f>financials[[#This Row],[Units Sold]]*financials[[#This Row],[Sale Price]]</f>
        <v>8330</v>
      </c>
      <c r="H183" s="2">
        <v>5950</v>
      </c>
      <c r="I183" s="2">
        <v>1297.1000000000004</v>
      </c>
      <c r="J183" s="5" t="s">
        <v>12</v>
      </c>
      <c r="K183" s="6">
        <v>2024</v>
      </c>
    </row>
    <row r="184" spans="1:11" x14ac:dyDescent="0.4">
      <c r="A184" s="1" t="s">
        <v>28</v>
      </c>
      <c r="B184" s="1" t="s">
        <v>13</v>
      </c>
      <c r="C184" s="5" t="s">
        <v>36</v>
      </c>
      <c r="D184" s="7" t="s">
        <v>53</v>
      </c>
      <c r="E184" s="1">
        <v>410</v>
      </c>
      <c r="F184" s="2">
        <v>12</v>
      </c>
      <c r="G184" s="2">
        <f>financials[[#This Row],[Units Sold]]*financials[[#This Row],[Sale Price]]</f>
        <v>4920</v>
      </c>
      <c r="H184" s="2">
        <v>1230</v>
      </c>
      <c r="I184" s="2">
        <v>3050.3999999999996</v>
      </c>
      <c r="J184" s="5" t="s">
        <v>19</v>
      </c>
      <c r="K184" s="6">
        <v>2024</v>
      </c>
    </row>
    <row r="185" spans="1:11" x14ac:dyDescent="0.4">
      <c r="A185" s="1" t="s">
        <v>30</v>
      </c>
      <c r="B185" s="1" t="s">
        <v>25</v>
      </c>
      <c r="C185" s="5" t="s">
        <v>26</v>
      </c>
      <c r="D185" s="7" t="s">
        <v>54</v>
      </c>
      <c r="E185" s="1">
        <v>2996</v>
      </c>
      <c r="F185" s="2">
        <v>7</v>
      </c>
      <c r="G185" s="2">
        <f>financials[[#This Row],[Units Sold]]*financials[[#This Row],[Sale Price]]</f>
        <v>20972</v>
      </c>
      <c r="H185" s="2">
        <v>14980</v>
      </c>
      <c r="I185" s="2">
        <v>3055.9199999999983</v>
      </c>
      <c r="J185" s="5" t="s">
        <v>19</v>
      </c>
      <c r="K185" s="6" t="s">
        <v>20</v>
      </c>
    </row>
    <row r="186" spans="1:11" x14ac:dyDescent="0.4">
      <c r="A186" s="1" t="s">
        <v>30</v>
      </c>
      <c r="B186" s="1" t="s">
        <v>8</v>
      </c>
      <c r="C186" s="5" t="s">
        <v>35</v>
      </c>
      <c r="D186" s="7" t="s">
        <v>55</v>
      </c>
      <c r="E186" s="1">
        <v>2428</v>
      </c>
      <c r="F186" s="2">
        <v>20</v>
      </c>
      <c r="G186" s="2">
        <f>financials[[#This Row],[Units Sold]]*financials[[#This Row],[Sale Price]]</f>
        <v>48560</v>
      </c>
      <c r="H186" s="2">
        <v>24280</v>
      </c>
      <c r="I186" s="2">
        <v>17481.599999999999</v>
      </c>
      <c r="J186" s="5" t="s">
        <v>15</v>
      </c>
      <c r="K186" s="6">
        <v>2024</v>
      </c>
    </row>
    <row r="187" spans="1:11" ht="29.15" x14ac:dyDescent="0.4">
      <c r="A187" s="1" t="s">
        <v>31</v>
      </c>
      <c r="B187" s="1" t="s">
        <v>25</v>
      </c>
      <c r="C187" s="5" t="s">
        <v>35</v>
      </c>
      <c r="D187" s="7" t="s">
        <v>37</v>
      </c>
      <c r="E187" s="1">
        <v>1767</v>
      </c>
      <c r="F187" s="2">
        <v>15</v>
      </c>
      <c r="G187" s="2">
        <f>financials[[#This Row],[Units Sold]]*financials[[#This Row],[Sale Price]]</f>
        <v>26505</v>
      </c>
      <c r="H187" s="2">
        <v>17670</v>
      </c>
      <c r="I187" s="2">
        <v>5124.2999999999993</v>
      </c>
      <c r="J187" s="5" t="s">
        <v>18</v>
      </c>
      <c r="K187" s="6">
        <v>2024</v>
      </c>
    </row>
    <row r="188" spans="1:11" ht="29.15" x14ac:dyDescent="0.4">
      <c r="A188" s="1" t="s">
        <v>28</v>
      </c>
      <c r="B188" s="1" t="s">
        <v>11</v>
      </c>
      <c r="C188" s="5" t="s">
        <v>35</v>
      </c>
      <c r="D188" s="7" t="s">
        <v>38</v>
      </c>
      <c r="E188" s="1">
        <v>1393</v>
      </c>
      <c r="F188" s="2">
        <v>12</v>
      </c>
      <c r="G188" s="2">
        <f>financials[[#This Row],[Units Sold]]*financials[[#This Row],[Sale Price]]</f>
        <v>16716</v>
      </c>
      <c r="H188" s="2">
        <v>4179</v>
      </c>
      <c r="I188" s="2">
        <v>10196.76</v>
      </c>
      <c r="J188" s="5" t="s">
        <v>19</v>
      </c>
      <c r="K188" s="6">
        <v>2024</v>
      </c>
    </row>
    <row r="189" spans="1:11" ht="29.15" x14ac:dyDescent="0.4">
      <c r="A189" s="1" t="s">
        <v>28</v>
      </c>
      <c r="B189" s="1" t="s">
        <v>25</v>
      </c>
      <c r="C189" s="5" t="s">
        <v>36</v>
      </c>
      <c r="D189" s="7" t="s">
        <v>39</v>
      </c>
      <c r="E189" s="1">
        <v>2015</v>
      </c>
      <c r="F189" s="2">
        <v>12</v>
      </c>
      <c r="G189" s="2">
        <f>financials[[#This Row],[Units Sold]]*financials[[#This Row],[Sale Price]]</f>
        <v>24180</v>
      </c>
      <c r="H189" s="2">
        <v>6045</v>
      </c>
      <c r="I189" s="2">
        <v>14749.8</v>
      </c>
      <c r="J189" s="5" t="s">
        <v>14</v>
      </c>
      <c r="K189" s="6" t="s">
        <v>20</v>
      </c>
    </row>
    <row r="190" spans="1:11" ht="29.15" x14ac:dyDescent="0.4">
      <c r="A190" s="1" t="s">
        <v>32</v>
      </c>
      <c r="B190" s="1" t="s">
        <v>13</v>
      </c>
      <c r="C190" s="5" t="s">
        <v>26</v>
      </c>
      <c r="D190" s="7" t="s">
        <v>40</v>
      </c>
      <c r="E190" s="1">
        <v>801</v>
      </c>
      <c r="F190" s="2">
        <v>300</v>
      </c>
      <c r="G190" s="2">
        <f>financials[[#This Row],[Units Sold]]*financials[[#This Row],[Sale Price]]</f>
        <v>240300</v>
      </c>
      <c r="H190" s="2">
        <v>200250</v>
      </c>
      <c r="I190" s="2">
        <v>6408</v>
      </c>
      <c r="J190" s="5" t="s">
        <v>16</v>
      </c>
      <c r="K190" s="6">
        <v>2024</v>
      </c>
    </row>
    <row r="191" spans="1:11" ht="29.15" x14ac:dyDescent="0.4">
      <c r="A191" s="1" t="s">
        <v>29</v>
      </c>
      <c r="B191" s="1" t="s">
        <v>11</v>
      </c>
      <c r="C191" s="5" t="s">
        <v>26</v>
      </c>
      <c r="D191" s="7" t="s">
        <v>41</v>
      </c>
      <c r="E191" s="1">
        <v>1023</v>
      </c>
      <c r="F191" s="2">
        <v>125</v>
      </c>
      <c r="G191" s="2">
        <f>financials[[#This Row],[Units Sold]]*financials[[#This Row],[Sale Price]]</f>
        <v>127875</v>
      </c>
      <c r="H191" s="2">
        <v>122760</v>
      </c>
      <c r="I191" s="2">
        <v>-12787.5</v>
      </c>
      <c r="J191" s="5" t="s">
        <v>18</v>
      </c>
      <c r="K191" s="6" t="s">
        <v>20</v>
      </c>
    </row>
    <row r="192" spans="1:11" ht="29.15" x14ac:dyDescent="0.4">
      <c r="A192" s="1" t="s">
        <v>32</v>
      </c>
      <c r="B192" s="1" t="s">
        <v>8</v>
      </c>
      <c r="C192" s="5" t="s">
        <v>26</v>
      </c>
      <c r="D192" s="7" t="s">
        <v>42</v>
      </c>
      <c r="E192" s="1">
        <v>1496</v>
      </c>
      <c r="F192" s="2">
        <v>300</v>
      </c>
      <c r="G192" s="2">
        <f>financials[[#This Row],[Units Sold]]*financials[[#This Row],[Sale Price]]</f>
        <v>448800</v>
      </c>
      <c r="H192" s="2">
        <v>374000</v>
      </c>
      <c r="I192" s="2">
        <v>11968</v>
      </c>
      <c r="J192" s="5" t="s">
        <v>19</v>
      </c>
      <c r="K192" s="6">
        <v>2024</v>
      </c>
    </row>
    <row r="193" spans="1:11" ht="29.15" x14ac:dyDescent="0.4">
      <c r="A193" s="1" t="s">
        <v>32</v>
      </c>
      <c r="B193" s="1" t="s">
        <v>25</v>
      </c>
      <c r="C193" s="5" t="s">
        <v>26</v>
      </c>
      <c r="D193" s="7" t="s">
        <v>43</v>
      </c>
      <c r="E193" s="1">
        <v>1010</v>
      </c>
      <c r="F193" s="2">
        <v>300</v>
      </c>
      <c r="G193" s="2">
        <f>financials[[#This Row],[Units Sold]]*financials[[#This Row],[Sale Price]]</f>
        <v>303000</v>
      </c>
      <c r="H193" s="2">
        <v>252500</v>
      </c>
      <c r="I193" s="2">
        <v>8080</v>
      </c>
      <c r="J193" s="5" t="s">
        <v>19</v>
      </c>
      <c r="K193" s="6">
        <v>2024</v>
      </c>
    </row>
    <row r="194" spans="1:11" ht="29.15" x14ac:dyDescent="0.4">
      <c r="A194" s="1" t="s">
        <v>31</v>
      </c>
      <c r="B194" s="1" t="s">
        <v>10</v>
      </c>
      <c r="C194" s="5" t="s">
        <v>26</v>
      </c>
      <c r="D194" s="7" t="s">
        <v>44</v>
      </c>
      <c r="E194" s="1">
        <v>1513</v>
      </c>
      <c r="F194" s="2">
        <v>15</v>
      </c>
      <c r="G194" s="2">
        <f>financials[[#This Row],[Units Sold]]*financials[[#This Row],[Sale Price]]</f>
        <v>22695</v>
      </c>
      <c r="H194" s="2">
        <v>15130</v>
      </c>
      <c r="I194" s="2">
        <v>4387.7000000000007</v>
      </c>
      <c r="J194" s="5" t="s">
        <v>22</v>
      </c>
      <c r="K194" s="6">
        <v>2024</v>
      </c>
    </row>
    <row r="195" spans="1:11" ht="29.15" x14ac:dyDescent="0.4">
      <c r="A195" s="1" t="s">
        <v>29</v>
      </c>
      <c r="B195" s="1" t="s">
        <v>13</v>
      </c>
      <c r="C195" s="5" t="s">
        <v>26</v>
      </c>
      <c r="D195" s="7" t="s">
        <v>45</v>
      </c>
      <c r="E195" s="1">
        <v>2821</v>
      </c>
      <c r="F195" s="2">
        <v>125</v>
      </c>
      <c r="G195" s="2">
        <f>financials[[#This Row],[Units Sold]]*financials[[#This Row],[Sale Price]]</f>
        <v>352625</v>
      </c>
      <c r="H195" s="2">
        <v>338520</v>
      </c>
      <c r="I195" s="2">
        <v>-35262.5</v>
      </c>
      <c r="J195" s="5" t="s">
        <v>14</v>
      </c>
      <c r="K195" s="6" t="s">
        <v>20</v>
      </c>
    </row>
    <row r="196" spans="1:11" x14ac:dyDescent="0.4">
      <c r="A196" s="1" t="s">
        <v>30</v>
      </c>
      <c r="B196" s="1" t="s">
        <v>10</v>
      </c>
      <c r="C196" s="5" t="s">
        <v>27</v>
      </c>
      <c r="D196" s="7" t="s">
        <v>46</v>
      </c>
      <c r="E196" s="1">
        <v>1199</v>
      </c>
      <c r="F196" s="2">
        <v>350</v>
      </c>
      <c r="G196" s="2">
        <f>financials[[#This Row],[Units Sold]]*financials[[#This Row],[Sale Price]]</f>
        <v>419650</v>
      </c>
      <c r="H196" s="2">
        <v>311740</v>
      </c>
      <c r="I196" s="2">
        <v>49159</v>
      </c>
      <c r="J196" s="5" t="s">
        <v>24</v>
      </c>
      <c r="K196" s="6">
        <v>2024</v>
      </c>
    </row>
    <row r="197" spans="1:11" x14ac:dyDescent="0.4">
      <c r="A197" s="1" t="s">
        <v>30</v>
      </c>
      <c r="B197" s="1" t="s">
        <v>13</v>
      </c>
      <c r="C197" s="5" t="s">
        <v>27</v>
      </c>
      <c r="D197" s="7" t="s">
        <v>47</v>
      </c>
      <c r="E197" s="1">
        <v>1727</v>
      </c>
      <c r="F197" s="2">
        <v>7</v>
      </c>
      <c r="G197" s="2">
        <f>financials[[#This Row],[Units Sold]]*financials[[#This Row],[Sale Price]]</f>
        <v>12089</v>
      </c>
      <c r="H197" s="2">
        <v>8635</v>
      </c>
      <c r="I197" s="2">
        <v>1761.5400000000009</v>
      </c>
      <c r="J197" s="5" t="s">
        <v>19</v>
      </c>
      <c r="K197" s="6" t="s">
        <v>20</v>
      </c>
    </row>
    <row r="198" spans="1:11" x14ac:dyDescent="0.4">
      <c r="A198" s="1" t="s">
        <v>30</v>
      </c>
      <c r="B198" s="1" t="s">
        <v>8</v>
      </c>
      <c r="C198" s="5" t="s">
        <v>35</v>
      </c>
      <c r="D198" s="7" t="s">
        <v>48</v>
      </c>
      <c r="E198" s="1">
        <v>700</v>
      </c>
      <c r="F198" s="2">
        <v>350</v>
      </c>
      <c r="G198" s="2">
        <f>financials[[#This Row],[Units Sold]]*financials[[#This Row],[Sale Price]]</f>
        <v>245000</v>
      </c>
      <c r="H198" s="2">
        <v>182000</v>
      </c>
      <c r="I198" s="2">
        <v>28700</v>
      </c>
      <c r="J198" s="5" t="s">
        <v>22</v>
      </c>
      <c r="K198" s="6">
        <v>2024</v>
      </c>
    </row>
    <row r="199" spans="1:11" x14ac:dyDescent="0.4">
      <c r="A199" s="1" t="s">
        <v>28</v>
      </c>
      <c r="B199" s="1" t="s">
        <v>8</v>
      </c>
      <c r="C199" s="5" t="s">
        <v>35</v>
      </c>
      <c r="D199" s="7" t="s">
        <v>49</v>
      </c>
      <c r="E199" s="1">
        <v>2222</v>
      </c>
      <c r="F199" s="2">
        <v>12</v>
      </c>
      <c r="G199" s="2">
        <f>financials[[#This Row],[Units Sold]]*financials[[#This Row],[Sale Price]]</f>
        <v>26664</v>
      </c>
      <c r="H199" s="2">
        <v>6666</v>
      </c>
      <c r="I199" s="2">
        <v>16265.04</v>
      </c>
      <c r="J199" s="5" t="s">
        <v>22</v>
      </c>
      <c r="K199" s="6" t="s">
        <v>20</v>
      </c>
    </row>
    <row r="200" spans="1:11" x14ac:dyDescent="0.4">
      <c r="A200" s="1" t="s">
        <v>30</v>
      </c>
      <c r="B200" s="1" t="s">
        <v>25</v>
      </c>
      <c r="C200" s="5" t="s">
        <v>35</v>
      </c>
      <c r="D200" s="7" t="s">
        <v>50</v>
      </c>
      <c r="E200" s="1">
        <v>1177</v>
      </c>
      <c r="F200" s="2">
        <v>350</v>
      </c>
      <c r="G200" s="2">
        <f>financials[[#This Row],[Units Sold]]*financials[[#This Row],[Sale Price]]</f>
        <v>411950</v>
      </c>
      <c r="H200" s="2">
        <v>306020</v>
      </c>
      <c r="I200" s="2">
        <v>48257</v>
      </c>
      <c r="J200" s="5" t="s">
        <v>22</v>
      </c>
      <c r="K200" s="6">
        <v>2024</v>
      </c>
    </row>
    <row r="201" spans="1:11" ht="29.15" x14ac:dyDescent="0.4">
      <c r="A201" s="1" t="s">
        <v>30</v>
      </c>
      <c r="B201" s="1" t="s">
        <v>11</v>
      </c>
      <c r="C201" s="5" t="s">
        <v>35</v>
      </c>
      <c r="D201" s="7" t="s">
        <v>51</v>
      </c>
      <c r="E201" s="1">
        <v>1922</v>
      </c>
      <c r="F201" s="2">
        <v>350</v>
      </c>
      <c r="G201" s="2">
        <f>financials[[#This Row],[Units Sold]]*financials[[#This Row],[Sale Price]]</f>
        <v>672700</v>
      </c>
      <c r="H201" s="2">
        <v>499720</v>
      </c>
      <c r="I201" s="2">
        <v>78802</v>
      </c>
      <c r="J201" s="5" t="s">
        <v>22</v>
      </c>
      <c r="K201" s="6" t="s">
        <v>20</v>
      </c>
    </row>
    <row r="202" spans="1:11" x14ac:dyDescent="0.4">
      <c r="A202" s="1" t="s">
        <v>32</v>
      </c>
      <c r="B202" s="1" t="s">
        <v>25</v>
      </c>
      <c r="C202" s="5" t="s">
        <v>36</v>
      </c>
      <c r="D202" s="7" t="s">
        <v>52</v>
      </c>
      <c r="E202" s="1">
        <v>2460</v>
      </c>
      <c r="F202" s="2">
        <v>300</v>
      </c>
      <c r="G202" s="2">
        <f>financials[[#This Row],[Units Sold]]*financials[[#This Row],[Sale Price]]</f>
        <v>738000</v>
      </c>
      <c r="H202" s="2">
        <v>615000</v>
      </c>
      <c r="I202" s="2">
        <v>19680</v>
      </c>
      <c r="J202" s="5" t="s">
        <v>16</v>
      </c>
      <c r="K202" s="6">
        <v>2024</v>
      </c>
    </row>
    <row r="203" spans="1:11" x14ac:dyDescent="0.4">
      <c r="A203" s="1" t="s">
        <v>30</v>
      </c>
      <c r="B203" s="1" t="s">
        <v>13</v>
      </c>
      <c r="C203" s="5" t="s">
        <v>36</v>
      </c>
      <c r="D203" s="7" t="s">
        <v>53</v>
      </c>
      <c r="E203" s="1">
        <v>1727</v>
      </c>
      <c r="F203" s="2">
        <v>7</v>
      </c>
      <c r="G203" s="2">
        <f>financials[[#This Row],[Units Sold]]*financials[[#This Row],[Sale Price]]</f>
        <v>12089</v>
      </c>
      <c r="H203" s="2">
        <v>8635</v>
      </c>
      <c r="I203" s="2">
        <v>1761.5400000000009</v>
      </c>
      <c r="J203" s="5" t="s">
        <v>19</v>
      </c>
      <c r="K203" s="6" t="s">
        <v>20</v>
      </c>
    </row>
    <row r="204" spans="1:11" x14ac:dyDescent="0.4">
      <c r="A204" s="1" t="s">
        <v>32</v>
      </c>
      <c r="B204" s="1" t="s">
        <v>13</v>
      </c>
      <c r="C204" s="5" t="s">
        <v>27</v>
      </c>
      <c r="D204" s="7" t="s">
        <v>54</v>
      </c>
      <c r="E204" s="1">
        <v>546</v>
      </c>
      <c r="F204" s="2">
        <v>300</v>
      </c>
      <c r="G204" s="2">
        <f>financials[[#This Row],[Units Sold]]*financials[[#This Row],[Sale Price]]</f>
        <v>163800</v>
      </c>
      <c r="H204" s="2">
        <v>136500</v>
      </c>
      <c r="I204" s="2">
        <v>2730</v>
      </c>
      <c r="J204" s="5" t="s">
        <v>19</v>
      </c>
      <c r="K204" s="6">
        <v>2024</v>
      </c>
    </row>
    <row r="205" spans="1:11" x14ac:dyDescent="0.4">
      <c r="A205" s="1" t="s">
        <v>31</v>
      </c>
      <c r="B205" s="1" t="s">
        <v>8</v>
      </c>
      <c r="C205" s="5" t="s">
        <v>35</v>
      </c>
      <c r="D205" s="7" t="s">
        <v>55</v>
      </c>
      <c r="E205" s="1">
        <v>2559</v>
      </c>
      <c r="F205" s="2">
        <v>15</v>
      </c>
      <c r="G205" s="2">
        <f>financials[[#This Row],[Units Sold]]*financials[[#This Row],[Sale Price]]</f>
        <v>38385</v>
      </c>
      <c r="H205" s="2">
        <v>25590</v>
      </c>
      <c r="I205" s="2">
        <v>7037.25</v>
      </c>
      <c r="J205" s="5" t="s">
        <v>17</v>
      </c>
      <c r="K205" s="6">
        <v>2024</v>
      </c>
    </row>
    <row r="206" spans="1:11" ht="29.15" x14ac:dyDescent="0.4">
      <c r="A206" s="1" t="s">
        <v>30</v>
      </c>
      <c r="B206" s="1" t="s">
        <v>25</v>
      </c>
      <c r="C206" s="5" t="s">
        <v>35</v>
      </c>
      <c r="D206" s="7" t="s">
        <v>37</v>
      </c>
      <c r="E206" s="1">
        <v>267</v>
      </c>
      <c r="F206" s="2">
        <v>20</v>
      </c>
      <c r="G206" s="2">
        <f>financials[[#This Row],[Units Sold]]*financials[[#This Row],[Sale Price]]</f>
        <v>5340</v>
      </c>
      <c r="H206" s="2">
        <v>2670</v>
      </c>
      <c r="I206" s="2">
        <v>1869</v>
      </c>
      <c r="J206" s="5" t="s">
        <v>19</v>
      </c>
      <c r="K206" s="6" t="s">
        <v>20</v>
      </c>
    </row>
    <row r="207" spans="1:11" ht="29.15" x14ac:dyDescent="0.4">
      <c r="A207" s="1" t="s">
        <v>29</v>
      </c>
      <c r="B207" s="1" t="s">
        <v>10</v>
      </c>
      <c r="C207" s="5" t="s">
        <v>35</v>
      </c>
      <c r="D207" s="7" t="s">
        <v>38</v>
      </c>
      <c r="E207" s="1">
        <v>1085</v>
      </c>
      <c r="F207" s="2">
        <v>125</v>
      </c>
      <c r="G207" s="2">
        <f>financials[[#This Row],[Units Sold]]*financials[[#This Row],[Sale Price]]</f>
        <v>135625</v>
      </c>
      <c r="H207" s="2">
        <v>130200</v>
      </c>
      <c r="I207" s="2">
        <v>-14918.75</v>
      </c>
      <c r="J207" s="5" t="s">
        <v>19</v>
      </c>
      <c r="K207" s="6">
        <v>2024</v>
      </c>
    </row>
    <row r="208" spans="1:11" ht="29.15" x14ac:dyDescent="0.4">
      <c r="A208" s="1" t="s">
        <v>31</v>
      </c>
      <c r="B208" s="1" t="s">
        <v>10</v>
      </c>
      <c r="C208" s="5" t="s">
        <v>35</v>
      </c>
      <c r="D208" s="7" t="s">
        <v>39</v>
      </c>
      <c r="E208" s="1">
        <v>1175</v>
      </c>
      <c r="F208" s="2">
        <v>15</v>
      </c>
      <c r="G208" s="2">
        <f>financials[[#This Row],[Units Sold]]*financials[[#This Row],[Sale Price]]</f>
        <v>17625</v>
      </c>
      <c r="H208" s="2">
        <v>11750</v>
      </c>
      <c r="I208" s="2">
        <v>3231.25</v>
      </c>
      <c r="J208" s="5" t="s">
        <v>19</v>
      </c>
      <c r="K208" s="6">
        <v>2024</v>
      </c>
    </row>
    <row r="209" spans="1:11" ht="29.15" x14ac:dyDescent="0.4">
      <c r="A209" s="1" t="s">
        <v>30</v>
      </c>
      <c r="B209" s="1" t="s">
        <v>25</v>
      </c>
      <c r="C209" s="5" t="s">
        <v>35</v>
      </c>
      <c r="D209" s="7" t="s">
        <v>40</v>
      </c>
      <c r="E209" s="1">
        <v>2007</v>
      </c>
      <c r="F209" s="2">
        <v>350</v>
      </c>
      <c r="G209" s="2">
        <f>financials[[#This Row],[Units Sold]]*financials[[#This Row],[Sale Price]]</f>
        <v>702450</v>
      </c>
      <c r="H209" s="2">
        <v>521820</v>
      </c>
      <c r="I209" s="2">
        <v>75262.5</v>
      </c>
      <c r="J209" s="5" t="s">
        <v>22</v>
      </c>
      <c r="K209" s="6" t="s">
        <v>20</v>
      </c>
    </row>
    <row r="210" spans="1:11" ht="29.15" x14ac:dyDescent="0.4">
      <c r="A210" s="1" t="s">
        <v>30</v>
      </c>
      <c r="B210" s="1" t="s">
        <v>13</v>
      </c>
      <c r="C210" s="5" t="s">
        <v>35</v>
      </c>
      <c r="D210" s="7" t="s">
        <v>41</v>
      </c>
      <c r="E210" s="1">
        <v>2151</v>
      </c>
      <c r="F210" s="2">
        <v>350</v>
      </c>
      <c r="G210" s="2">
        <f>financials[[#This Row],[Units Sold]]*financials[[#This Row],[Sale Price]]</f>
        <v>752850</v>
      </c>
      <c r="H210" s="2">
        <v>559260</v>
      </c>
      <c r="I210" s="2">
        <v>80662.5</v>
      </c>
      <c r="J210" s="5" t="s">
        <v>22</v>
      </c>
      <c r="K210" s="6" t="s">
        <v>20</v>
      </c>
    </row>
    <row r="211" spans="1:11" ht="29.15" x14ac:dyDescent="0.4">
      <c r="A211" s="1" t="s">
        <v>28</v>
      </c>
      <c r="B211" s="1" t="s">
        <v>25</v>
      </c>
      <c r="C211" s="5" t="s">
        <v>35</v>
      </c>
      <c r="D211" s="7" t="s">
        <v>42</v>
      </c>
      <c r="E211" s="1">
        <v>914</v>
      </c>
      <c r="F211" s="2">
        <v>12</v>
      </c>
      <c r="G211" s="2">
        <f>financials[[#This Row],[Units Sold]]*financials[[#This Row],[Sale Price]]</f>
        <v>10968</v>
      </c>
      <c r="H211" s="2">
        <v>2742</v>
      </c>
      <c r="I211" s="2">
        <v>6580.7999999999993</v>
      </c>
      <c r="J211" s="5" t="s">
        <v>14</v>
      </c>
      <c r="K211" s="6">
        <v>2024</v>
      </c>
    </row>
    <row r="212" spans="1:11" ht="29.15" x14ac:dyDescent="0.4">
      <c r="A212" s="1" t="s">
        <v>30</v>
      </c>
      <c r="B212" s="1" t="s">
        <v>11</v>
      </c>
      <c r="C212" s="5" t="s">
        <v>35</v>
      </c>
      <c r="D212" s="7" t="s">
        <v>43</v>
      </c>
      <c r="E212" s="1">
        <v>293</v>
      </c>
      <c r="F212" s="2">
        <v>20</v>
      </c>
      <c r="G212" s="2">
        <f>financials[[#This Row],[Units Sold]]*financials[[#This Row],[Sale Price]]</f>
        <v>5860</v>
      </c>
      <c r="H212" s="2">
        <v>2930</v>
      </c>
      <c r="I212" s="2">
        <v>2051</v>
      </c>
      <c r="J212" s="5" t="s">
        <v>14</v>
      </c>
      <c r="K212" s="6">
        <v>2024</v>
      </c>
    </row>
    <row r="213" spans="1:11" ht="29.15" x14ac:dyDescent="0.4">
      <c r="A213" s="1" t="s">
        <v>28</v>
      </c>
      <c r="B213" s="1" t="s">
        <v>13</v>
      </c>
      <c r="C213" s="5" t="s">
        <v>36</v>
      </c>
      <c r="D213" s="7" t="s">
        <v>44</v>
      </c>
      <c r="E213" s="1">
        <v>500</v>
      </c>
      <c r="F213" s="2">
        <v>12</v>
      </c>
      <c r="G213" s="2">
        <f>financials[[#This Row],[Units Sold]]*financials[[#This Row],[Sale Price]]</f>
        <v>6000</v>
      </c>
      <c r="H213" s="2">
        <v>1500</v>
      </c>
      <c r="I213" s="2">
        <v>3600</v>
      </c>
      <c r="J213" s="5" t="s">
        <v>15</v>
      </c>
      <c r="K213" s="6">
        <v>2024</v>
      </c>
    </row>
    <row r="214" spans="1:11" ht="29.15" x14ac:dyDescent="0.4">
      <c r="A214" s="1" t="s">
        <v>29</v>
      </c>
      <c r="B214" s="1" t="s">
        <v>11</v>
      </c>
      <c r="C214" s="5" t="s">
        <v>36</v>
      </c>
      <c r="D214" s="7" t="s">
        <v>45</v>
      </c>
      <c r="E214" s="1">
        <v>663</v>
      </c>
      <c r="F214" s="2">
        <v>125</v>
      </c>
      <c r="G214" s="2">
        <f>financials[[#This Row],[Units Sold]]*financials[[#This Row],[Sale Price]]</f>
        <v>82875</v>
      </c>
      <c r="H214" s="2">
        <v>79560</v>
      </c>
      <c r="I214" s="2">
        <v>-9116.25</v>
      </c>
      <c r="J214" s="5" t="s">
        <v>18</v>
      </c>
      <c r="K214" s="6">
        <v>2024</v>
      </c>
    </row>
    <row r="215" spans="1:11" x14ac:dyDescent="0.4">
      <c r="A215" s="1" t="s">
        <v>30</v>
      </c>
      <c r="B215" s="1" t="s">
        <v>13</v>
      </c>
      <c r="C215" s="5" t="s">
        <v>27</v>
      </c>
      <c r="D215" s="7" t="s">
        <v>46</v>
      </c>
      <c r="E215" s="1">
        <v>1368</v>
      </c>
      <c r="F215" s="2">
        <v>7</v>
      </c>
      <c r="G215" s="2">
        <f>financials[[#This Row],[Units Sold]]*financials[[#This Row],[Sale Price]]</f>
        <v>9576</v>
      </c>
      <c r="H215" s="2">
        <v>6840</v>
      </c>
      <c r="I215" s="2">
        <v>1299.6000000000004</v>
      </c>
      <c r="J215" s="5" t="s">
        <v>21</v>
      </c>
      <c r="K215" s="6">
        <v>2024</v>
      </c>
    </row>
  </sheetData>
  <phoneticPr fontId="5" type="noConversion"/>
  <pageMargins left="0.7" right="0.7" top="0.75" bottom="0.75" header="0.3" footer="0.3"/>
  <pageSetup orientation="portrait" r:id="rId1"/>
  <ignoredErrors>
    <ignoredError sqref="K13 K209:K210 K206 K203 K201 K199 K197 K195 K191 K189 K185 K176 K172 K168 K167 K166 K163:K164 K159 K150 K148 K147 K141 K140 K138:K139 K120:K121 K117 K110 K106 K97:K98 K96 K93:K94 K91 K83:K84 K79 K74 K72 K70 K65 K63 K59 K54 K47:K48 K40 K39 K38 K35 K29 K27 K18 K15:K16 J216:J1048576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35C8-FBE5-4B43-986D-4E9C0EB02E2D}">
  <dimension ref="A1:B5"/>
  <sheetViews>
    <sheetView zoomScaleNormal="100" workbookViewId="0">
      <selection activeCell="A7" sqref="A7"/>
    </sheetView>
  </sheetViews>
  <sheetFormatPr defaultRowHeight="14.6" x14ac:dyDescent="0.4"/>
  <cols>
    <col min="1" max="1" width="17.4609375" bestFit="1" customWidth="1"/>
    <col min="2" max="2" width="11.15234375" customWidth="1"/>
  </cols>
  <sheetData>
    <row r="1" spans="1:2" x14ac:dyDescent="0.4">
      <c r="A1" s="11" t="s">
        <v>1</v>
      </c>
      <c r="B1" s="12" t="s">
        <v>56</v>
      </c>
    </row>
    <row r="2" spans="1:2" x14ac:dyDescent="0.4">
      <c r="A2" s="9" t="s">
        <v>26</v>
      </c>
      <c r="B2" s="10" t="s">
        <v>57</v>
      </c>
    </row>
    <row r="3" spans="1:2" x14ac:dyDescent="0.4">
      <c r="A3" s="9" t="s">
        <v>27</v>
      </c>
      <c r="B3" s="10" t="s">
        <v>58</v>
      </c>
    </row>
    <row r="4" spans="1:2" x14ac:dyDescent="0.4">
      <c r="A4" s="9" t="s">
        <v>35</v>
      </c>
      <c r="B4" s="10" t="s">
        <v>59</v>
      </c>
    </row>
    <row r="5" spans="1:2" x14ac:dyDescent="0.4">
      <c r="A5" s="13" t="s">
        <v>36</v>
      </c>
      <c r="B5" s="14" t="s">
        <v>60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Kristen Chan</cp:lastModifiedBy>
  <cp:revision/>
  <dcterms:created xsi:type="dcterms:W3CDTF">2014-01-28T02:45:41Z</dcterms:created>
  <dcterms:modified xsi:type="dcterms:W3CDTF">2026-01-14T15:00:06Z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